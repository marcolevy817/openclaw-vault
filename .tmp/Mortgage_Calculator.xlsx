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5" fillId="6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16" customWidth="1" min="5" max="5"/>
    <col width="18" customWidth="1" min="6" max="6"/>
    <col width="20" customWidth="1" min="7" max="7"/>
  </cols>
  <sheetData>
    <row r="1" ht="36" customHeight="1">
      <c r="A1" s="1" t="inlineStr">
        <is>
          <t>🏠  Mortgage Calculator</t>
        </is>
      </c>
    </row>
    <row r="2" ht="18" customHeight="1">
      <c r="A2" s="2" t="inlineStr">
        <is>
          <t>Enter your loan details below — the table and summary update automatically</t>
        </is>
      </c>
    </row>
    <row r="3">
      <c r="A3" s="3" t="inlineStr">
        <is>
          <t>LOAN INPUTS</t>
        </is>
      </c>
      <c r="D3" s="3" t="inlineStr">
        <is>
          <t>QUICK SUMMARY</t>
        </is>
      </c>
    </row>
    <row r="4">
      <c r="A4" s="4" t="inlineStr">
        <is>
          <t>Home Price ($)</t>
        </is>
      </c>
      <c r="B4" s="5" t="n">
        <v>500000</v>
      </c>
      <c r="D4" s="4" t="inlineStr">
        <is>
          <t>Loan Amount</t>
        </is>
      </c>
      <c r="E4" s="6" t="n"/>
      <c r="F4" s="7" t="n"/>
      <c r="G4" s="8">
        <f>B4-B5</f>
        <v/>
      </c>
    </row>
    <row r="5">
      <c r="A5" s="4" t="inlineStr">
        <is>
          <t>Down Payment ($)</t>
        </is>
      </c>
      <c r="B5" s="5" t="n">
        <v>100000</v>
      </c>
      <c r="D5" s="4" t="inlineStr">
        <is>
          <t>Monthly P&amp;I Payment</t>
        </is>
      </c>
      <c r="E5" s="6" t="n"/>
      <c r="F5" s="7" t="n"/>
      <c r="G5" s="8">
        <f>IFERROR(PMT(B6/12,B7*12,-(B4-B5)),0)</f>
        <v/>
      </c>
    </row>
    <row r="6">
      <c r="A6" s="4" t="inlineStr">
        <is>
          <t>Annual Interest Rate (%)</t>
        </is>
      </c>
      <c r="B6" s="9" t="n">
        <v>0.065</v>
      </c>
      <c r="D6" s="4" t="inlineStr">
        <is>
          <t>Monthly Tax + Insurance</t>
        </is>
      </c>
      <c r="E6" s="6" t="n"/>
      <c r="F6" s="7" t="n"/>
      <c r="G6" s="8">
        <f>(B8+B9)/12</f>
        <v/>
      </c>
    </row>
    <row r="7">
      <c r="A7" s="4" t="inlineStr">
        <is>
          <t>Loan Term (Years)</t>
        </is>
      </c>
      <c r="B7" s="10" t="n">
        <v>30</v>
      </c>
      <c r="D7" s="4" t="inlineStr">
        <is>
          <t>Total Monthly Payment</t>
        </is>
      </c>
      <c r="E7" s="6" t="n"/>
      <c r="F7" s="7" t="n"/>
      <c r="G7" s="11">
        <f>D5+D6</f>
        <v/>
      </c>
    </row>
    <row r="8">
      <c r="A8" s="4" t="inlineStr">
        <is>
          <t>Property Tax / Year ($)</t>
        </is>
      </c>
      <c r="B8" s="5" t="n">
        <v>4800</v>
      </c>
      <c r="D8" s="4" t="inlineStr">
        <is>
          <t>Total Paid (Principal+Interest)</t>
        </is>
      </c>
      <c r="E8" s="6" t="n"/>
      <c r="F8" s="7" t="n"/>
      <c r="G8" s="8">
        <f>D5*B7*12</f>
        <v/>
      </c>
    </row>
    <row r="9">
      <c r="A9" s="4" t="inlineStr">
        <is>
          <t>Insurance / Year ($)</t>
        </is>
      </c>
      <c r="B9" s="5" t="n">
        <v>1200</v>
      </c>
      <c r="D9" s="4" t="inlineStr">
        <is>
          <t>Total Interest Paid</t>
        </is>
      </c>
      <c r="E9" s="6" t="n"/>
      <c r="F9" s="7" t="n"/>
      <c r="G9" s="11">
        <f>D8-(B4-B5)</f>
        <v/>
      </c>
    </row>
    <row r="10" ht="8" customHeight="1"/>
    <row r="11" ht="24" customHeight="1">
      <c r="A11" s="12" t="inlineStr">
        <is>
          <t>📅  Full Amortization Schedule</t>
        </is>
      </c>
    </row>
    <row r="12" ht="20" customHeight="1">
      <c r="A12" s="13" t="inlineStr">
        <is>
          <t>Payment #</t>
        </is>
      </c>
      <c r="B12" s="13" t="inlineStr">
        <is>
          <t>Month / Year</t>
        </is>
      </c>
      <c r="C12" s="13" t="inlineStr">
        <is>
          <t>Beginning Balance</t>
        </is>
      </c>
      <c r="D12" s="13" t="inlineStr">
        <is>
          <t>Principal</t>
        </is>
      </c>
      <c r="E12" s="13" t="inlineStr">
        <is>
          <t>Interest</t>
        </is>
      </c>
      <c r="F12" s="13" t="inlineStr">
        <is>
          <t>Ending Balance</t>
        </is>
      </c>
      <c r="G12" s="13" t="inlineStr">
        <is>
          <t>Cumulative Interest</t>
        </is>
      </c>
    </row>
    <row r="13">
      <c r="A13" s="14">
        <f>IF(1&lt;=B$7*12,1,"")</f>
        <v/>
      </c>
      <c r="B13" s="14">
        <f>IF(1&lt;=B$7*12,TEXT(DATE(2026,4,1),"mmm yyyy"),"")</f>
        <v/>
      </c>
      <c r="C13" s="5">
        <f>IF(1&lt;=B$7*12,B4-B5,"")</f>
        <v/>
      </c>
      <c r="D13" s="5">
        <f>IF(1&lt;=B$7*12,IFERROR(PMT(B$6/12,B$7*12,-(B4-B5)),0)-E13,"")</f>
        <v/>
      </c>
      <c r="E13" s="5">
        <f>IF(1&lt;=B$7*12,C13*B$6/12,"")</f>
        <v/>
      </c>
      <c r="F13" s="5">
        <f>IF(1&lt;=B$7*12,MAX(C13-D13,0),"")</f>
        <v/>
      </c>
      <c r="G13" s="5">
        <f>IF(1&lt;=B$7*12,E13,"")</f>
        <v/>
      </c>
    </row>
    <row r="14">
      <c r="A14" s="15">
        <f>IF(2&lt;=B$7*12,2,"")</f>
        <v/>
      </c>
      <c r="B14" s="15">
        <f>IF(2&lt;=B$7*12,TEXT(DATE(2026,5,1),"mmm yyyy"),"")</f>
        <v/>
      </c>
      <c r="C14" s="16">
        <f>IF(2&lt;=B$7*12,F13,"")</f>
        <v/>
      </c>
      <c r="D14" s="16">
        <f>IF(2&lt;=B$7*12,IFERROR(PMT(B$6/12,B$7*12,-(B4-B5)),0)-E14,"")</f>
        <v/>
      </c>
      <c r="E14" s="16">
        <f>IF(2&lt;=B$7*12,C14*B$6/12,"")</f>
        <v/>
      </c>
      <c r="F14" s="16">
        <f>IF(2&lt;=B$7*12,MAX(C14-D14,0),"")</f>
        <v/>
      </c>
      <c r="G14" s="16">
        <f>IF(2&lt;=B$7*12,G13+E14,"")</f>
        <v/>
      </c>
    </row>
    <row r="15">
      <c r="A15" s="14">
        <f>IF(3&lt;=B$7*12,3,"")</f>
        <v/>
      </c>
      <c r="B15" s="14">
        <f>IF(3&lt;=B$7*12,TEXT(DATE(2026,6,1),"mmm yyyy"),"")</f>
        <v/>
      </c>
      <c r="C15" s="5">
        <f>IF(3&lt;=B$7*12,F14,"")</f>
        <v/>
      </c>
      <c r="D15" s="5">
        <f>IF(3&lt;=B$7*12,IFERROR(PMT(B$6/12,B$7*12,-(B4-B5)),0)-E15,"")</f>
        <v/>
      </c>
      <c r="E15" s="5">
        <f>IF(3&lt;=B$7*12,C15*B$6/12,"")</f>
        <v/>
      </c>
      <c r="F15" s="5">
        <f>IF(3&lt;=B$7*12,MAX(C15-D15,0),"")</f>
        <v/>
      </c>
      <c r="G15" s="5">
        <f>IF(3&lt;=B$7*12,G14+E15,"")</f>
        <v/>
      </c>
    </row>
    <row r="16">
      <c r="A16" s="15">
        <f>IF(4&lt;=B$7*12,4,"")</f>
        <v/>
      </c>
      <c r="B16" s="15">
        <f>IF(4&lt;=B$7*12,TEXT(DATE(2026,7,1),"mmm yyyy"),"")</f>
        <v/>
      </c>
      <c r="C16" s="16">
        <f>IF(4&lt;=B$7*12,F15,"")</f>
        <v/>
      </c>
      <c r="D16" s="16">
        <f>IF(4&lt;=B$7*12,IFERROR(PMT(B$6/12,B$7*12,-(B4-B5)),0)-E16,"")</f>
        <v/>
      </c>
      <c r="E16" s="16">
        <f>IF(4&lt;=B$7*12,C16*B$6/12,"")</f>
        <v/>
      </c>
      <c r="F16" s="16">
        <f>IF(4&lt;=B$7*12,MAX(C16-D16,0),"")</f>
        <v/>
      </c>
      <c r="G16" s="16">
        <f>IF(4&lt;=B$7*12,G15+E16,"")</f>
        <v/>
      </c>
    </row>
    <row r="17">
      <c r="A17" s="14">
        <f>IF(5&lt;=B$7*12,5,"")</f>
        <v/>
      </c>
      <c r="B17" s="14">
        <f>IF(5&lt;=B$7*12,TEXT(DATE(2026,8,1),"mmm yyyy"),"")</f>
        <v/>
      </c>
      <c r="C17" s="5">
        <f>IF(5&lt;=B$7*12,F16,"")</f>
        <v/>
      </c>
      <c r="D17" s="5">
        <f>IF(5&lt;=B$7*12,IFERROR(PMT(B$6/12,B$7*12,-(B4-B5)),0)-E17,"")</f>
        <v/>
      </c>
      <c r="E17" s="5">
        <f>IF(5&lt;=B$7*12,C17*B$6/12,"")</f>
        <v/>
      </c>
      <c r="F17" s="5">
        <f>IF(5&lt;=B$7*12,MAX(C17-D17,0),"")</f>
        <v/>
      </c>
      <c r="G17" s="5">
        <f>IF(5&lt;=B$7*12,G16+E17,"")</f>
        <v/>
      </c>
    </row>
    <row r="18">
      <c r="A18" s="15">
        <f>IF(6&lt;=B$7*12,6,"")</f>
        <v/>
      </c>
      <c r="B18" s="15">
        <f>IF(6&lt;=B$7*12,TEXT(DATE(2026,9,1),"mmm yyyy"),"")</f>
        <v/>
      </c>
      <c r="C18" s="16">
        <f>IF(6&lt;=B$7*12,F17,"")</f>
        <v/>
      </c>
      <c r="D18" s="16">
        <f>IF(6&lt;=B$7*12,IFERROR(PMT(B$6/12,B$7*12,-(B4-B5)),0)-E18,"")</f>
        <v/>
      </c>
      <c r="E18" s="16">
        <f>IF(6&lt;=B$7*12,C18*B$6/12,"")</f>
        <v/>
      </c>
      <c r="F18" s="16">
        <f>IF(6&lt;=B$7*12,MAX(C18-D18,0),"")</f>
        <v/>
      </c>
      <c r="G18" s="16">
        <f>IF(6&lt;=B$7*12,G17+E18,"")</f>
        <v/>
      </c>
    </row>
    <row r="19">
      <c r="A19" s="14">
        <f>IF(7&lt;=B$7*12,7,"")</f>
        <v/>
      </c>
      <c r="B19" s="14">
        <f>IF(7&lt;=B$7*12,TEXT(DATE(2026,10,1),"mmm yyyy"),"")</f>
        <v/>
      </c>
      <c r="C19" s="5">
        <f>IF(7&lt;=B$7*12,F18,"")</f>
        <v/>
      </c>
      <c r="D19" s="5">
        <f>IF(7&lt;=B$7*12,IFERROR(PMT(B$6/12,B$7*12,-(B4-B5)),0)-E19,"")</f>
        <v/>
      </c>
      <c r="E19" s="5">
        <f>IF(7&lt;=B$7*12,C19*B$6/12,"")</f>
        <v/>
      </c>
      <c r="F19" s="5">
        <f>IF(7&lt;=B$7*12,MAX(C19-D19,0),"")</f>
        <v/>
      </c>
      <c r="G19" s="5">
        <f>IF(7&lt;=B$7*12,G18+E19,"")</f>
        <v/>
      </c>
    </row>
    <row r="20">
      <c r="A20" s="15">
        <f>IF(8&lt;=B$7*12,8,"")</f>
        <v/>
      </c>
      <c r="B20" s="15">
        <f>IF(8&lt;=B$7*12,TEXT(DATE(2026,11,1),"mmm yyyy"),"")</f>
        <v/>
      </c>
      <c r="C20" s="16">
        <f>IF(8&lt;=B$7*12,F19,"")</f>
        <v/>
      </c>
      <c r="D20" s="16">
        <f>IF(8&lt;=B$7*12,IFERROR(PMT(B$6/12,B$7*12,-(B4-B5)),0)-E20,"")</f>
        <v/>
      </c>
      <c r="E20" s="16">
        <f>IF(8&lt;=B$7*12,C20*B$6/12,"")</f>
        <v/>
      </c>
      <c r="F20" s="16">
        <f>IF(8&lt;=B$7*12,MAX(C20-D20,0),"")</f>
        <v/>
      </c>
      <c r="G20" s="16">
        <f>IF(8&lt;=B$7*12,G19+E20,"")</f>
        <v/>
      </c>
    </row>
    <row r="21">
      <c r="A21" s="14">
        <f>IF(9&lt;=B$7*12,9,"")</f>
        <v/>
      </c>
      <c r="B21" s="14">
        <f>IF(9&lt;=B$7*12,TEXT(DATE(2026,12,1),"mmm yyyy"),"")</f>
        <v/>
      </c>
      <c r="C21" s="5">
        <f>IF(9&lt;=B$7*12,F20,"")</f>
        <v/>
      </c>
      <c r="D21" s="5">
        <f>IF(9&lt;=B$7*12,IFERROR(PMT(B$6/12,B$7*12,-(B4-B5)),0)-E21,"")</f>
        <v/>
      </c>
      <c r="E21" s="5">
        <f>IF(9&lt;=B$7*12,C21*B$6/12,"")</f>
        <v/>
      </c>
      <c r="F21" s="5">
        <f>IF(9&lt;=B$7*12,MAX(C21-D21,0),"")</f>
        <v/>
      </c>
      <c r="G21" s="5">
        <f>IF(9&lt;=B$7*12,G20+E21,"")</f>
        <v/>
      </c>
    </row>
    <row r="22">
      <c r="A22" s="15">
        <f>IF(10&lt;=B$7*12,10,"")</f>
        <v/>
      </c>
      <c r="B22" s="15">
        <f>IF(10&lt;=B$7*12,TEXT(DATE(2027,1,1),"mmm yyyy"),"")</f>
        <v/>
      </c>
      <c r="C22" s="16">
        <f>IF(10&lt;=B$7*12,F21,"")</f>
        <v/>
      </c>
      <c r="D22" s="16">
        <f>IF(10&lt;=B$7*12,IFERROR(PMT(B$6/12,B$7*12,-(B4-B5)),0)-E22,"")</f>
        <v/>
      </c>
      <c r="E22" s="16">
        <f>IF(10&lt;=B$7*12,C22*B$6/12,"")</f>
        <v/>
      </c>
      <c r="F22" s="16">
        <f>IF(10&lt;=B$7*12,MAX(C22-D22,0),"")</f>
        <v/>
      </c>
      <c r="G22" s="16">
        <f>IF(10&lt;=B$7*12,G21+E22,"")</f>
        <v/>
      </c>
    </row>
    <row r="23">
      <c r="A23" s="14">
        <f>IF(11&lt;=B$7*12,11,"")</f>
        <v/>
      </c>
      <c r="B23" s="14">
        <f>IF(11&lt;=B$7*12,TEXT(DATE(2027,2,1),"mmm yyyy"),"")</f>
        <v/>
      </c>
      <c r="C23" s="5">
        <f>IF(11&lt;=B$7*12,F22,"")</f>
        <v/>
      </c>
      <c r="D23" s="5">
        <f>IF(11&lt;=B$7*12,IFERROR(PMT(B$6/12,B$7*12,-(B4-B5)),0)-E23,"")</f>
        <v/>
      </c>
      <c r="E23" s="5">
        <f>IF(11&lt;=B$7*12,C23*B$6/12,"")</f>
        <v/>
      </c>
      <c r="F23" s="5">
        <f>IF(11&lt;=B$7*12,MAX(C23-D23,0),"")</f>
        <v/>
      </c>
      <c r="G23" s="5">
        <f>IF(11&lt;=B$7*12,G22+E23,"")</f>
        <v/>
      </c>
    </row>
    <row r="24">
      <c r="A24" s="15">
        <f>IF(12&lt;=B$7*12,12,"")</f>
        <v/>
      </c>
      <c r="B24" s="15">
        <f>IF(12&lt;=B$7*12,TEXT(DATE(2027,3,1),"mmm yyyy"),"")</f>
        <v/>
      </c>
      <c r="C24" s="16">
        <f>IF(12&lt;=B$7*12,F23,"")</f>
        <v/>
      </c>
      <c r="D24" s="16">
        <f>IF(12&lt;=B$7*12,IFERROR(PMT(B$6/12,B$7*12,-(B4-B5)),0)-E24,"")</f>
        <v/>
      </c>
      <c r="E24" s="16">
        <f>IF(12&lt;=B$7*12,C24*B$6/12,"")</f>
        <v/>
      </c>
      <c r="F24" s="16">
        <f>IF(12&lt;=B$7*12,MAX(C24-D24,0),"")</f>
        <v/>
      </c>
      <c r="G24" s="16">
        <f>IF(12&lt;=B$7*12,G23+E24,"")</f>
        <v/>
      </c>
    </row>
    <row r="25">
      <c r="A25" s="14">
        <f>IF(13&lt;=B$7*12,13,"")</f>
        <v/>
      </c>
      <c r="B25" s="14">
        <f>IF(13&lt;=B$7*12,TEXT(DATE(2027,4,1),"mmm yyyy"),"")</f>
        <v/>
      </c>
      <c r="C25" s="5">
        <f>IF(13&lt;=B$7*12,F24,"")</f>
        <v/>
      </c>
      <c r="D25" s="5">
        <f>IF(13&lt;=B$7*12,IFERROR(PMT(B$6/12,B$7*12,-(B4-B5)),0)-E25,"")</f>
        <v/>
      </c>
      <c r="E25" s="5">
        <f>IF(13&lt;=B$7*12,C25*B$6/12,"")</f>
        <v/>
      </c>
      <c r="F25" s="5">
        <f>IF(13&lt;=B$7*12,MAX(C25-D25,0),"")</f>
        <v/>
      </c>
      <c r="G25" s="5">
        <f>IF(13&lt;=B$7*12,G24+E25,"")</f>
        <v/>
      </c>
    </row>
    <row r="26">
      <c r="A26" s="15">
        <f>IF(14&lt;=B$7*12,14,"")</f>
        <v/>
      </c>
      <c r="B26" s="15">
        <f>IF(14&lt;=B$7*12,TEXT(DATE(2027,5,1),"mmm yyyy"),"")</f>
        <v/>
      </c>
      <c r="C26" s="16">
        <f>IF(14&lt;=B$7*12,F25,"")</f>
        <v/>
      </c>
      <c r="D26" s="16">
        <f>IF(14&lt;=B$7*12,IFERROR(PMT(B$6/12,B$7*12,-(B4-B5)),0)-E26,"")</f>
        <v/>
      </c>
      <c r="E26" s="16">
        <f>IF(14&lt;=B$7*12,C26*B$6/12,"")</f>
        <v/>
      </c>
      <c r="F26" s="16">
        <f>IF(14&lt;=B$7*12,MAX(C26-D26,0),"")</f>
        <v/>
      </c>
      <c r="G26" s="16">
        <f>IF(14&lt;=B$7*12,G25+E26,"")</f>
        <v/>
      </c>
    </row>
    <row r="27">
      <c r="A27" s="14">
        <f>IF(15&lt;=B$7*12,15,"")</f>
        <v/>
      </c>
      <c r="B27" s="14">
        <f>IF(15&lt;=B$7*12,TEXT(DATE(2027,6,1),"mmm yyyy"),"")</f>
        <v/>
      </c>
      <c r="C27" s="5">
        <f>IF(15&lt;=B$7*12,F26,"")</f>
        <v/>
      </c>
      <c r="D27" s="5">
        <f>IF(15&lt;=B$7*12,IFERROR(PMT(B$6/12,B$7*12,-(B4-B5)),0)-E27,"")</f>
        <v/>
      </c>
      <c r="E27" s="5">
        <f>IF(15&lt;=B$7*12,C27*B$6/12,"")</f>
        <v/>
      </c>
      <c r="F27" s="5">
        <f>IF(15&lt;=B$7*12,MAX(C27-D27,0),"")</f>
        <v/>
      </c>
      <c r="G27" s="5">
        <f>IF(15&lt;=B$7*12,G26+E27,"")</f>
        <v/>
      </c>
    </row>
    <row r="28">
      <c r="A28" s="15">
        <f>IF(16&lt;=B$7*12,16,"")</f>
        <v/>
      </c>
      <c r="B28" s="15">
        <f>IF(16&lt;=B$7*12,TEXT(DATE(2027,7,1),"mmm yyyy"),"")</f>
        <v/>
      </c>
      <c r="C28" s="16">
        <f>IF(16&lt;=B$7*12,F27,"")</f>
        <v/>
      </c>
      <c r="D28" s="16">
        <f>IF(16&lt;=B$7*12,IFERROR(PMT(B$6/12,B$7*12,-(B4-B5)),0)-E28,"")</f>
        <v/>
      </c>
      <c r="E28" s="16">
        <f>IF(16&lt;=B$7*12,C28*B$6/12,"")</f>
        <v/>
      </c>
      <c r="F28" s="16">
        <f>IF(16&lt;=B$7*12,MAX(C28-D28,0),"")</f>
        <v/>
      </c>
      <c r="G28" s="16">
        <f>IF(16&lt;=B$7*12,G27+E28,"")</f>
        <v/>
      </c>
    </row>
    <row r="29">
      <c r="A29" s="14">
        <f>IF(17&lt;=B$7*12,17,"")</f>
        <v/>
      </c>
      <c r="B29" s="14">
        <f>IF(17&lt;=B$7*12,TEXT(DATE(2027,8,1),"mmm yyyy"),"")</f>
        <v/>
      </c>
      <c r="C29" s="5">
        <f>IF(17&lt;=B$7*12,F28,"")</f>
        <v/>
      </c>
      <c r="D29" s="5">
        <f>IF(17&lt;=B$7*12,IFERROR(PMT(B$6/12,B$7*12,-(B4-B5)),0)-E29,"")</f>
        <v/>
      </c>
      <c r="E29" s="5">
        <f>IF(17&lt;=B$7*12,C29*B$6/12,"")</f>
        <v/>
      </c>
      <c r="F29" s="5">
        <f>IF(17&lt;=B$7*12,MAX(C29-D29,0),"")</f>
        <v/>
      </c>
      <c r="G29" s="5">
        <f>IF(17&lt;=B$7*12,G28+E29,"")</f>
        <v/>
      </c>
    </row>
    <row r="30">
      <c r="A30" s="15">
        <f>IF(18&lt;=B$7*12,18,"")</f>
        <v/>
      </c>
      <c r="B30" s="15">
        <f>IF(18&lt;=B$7*12,TEXT(DATE(2027,9,1),"mmm yyyy"),"")</f>
        <v/>
      </c>
      <c r="C30" s="16">
        <f>IF(18&lt;=B$7*12,F29,"")</f>
        <v/>
      </c>
      <c r="D30" s="16">
        <f>IF(18&lt;=B$7*12,IFERROR(PMT(B$6/12,B$7*12,-(B4-B5)),0)-E30,"")</f>
        <v/>
      </c>
      <c r="E30" s="16">
        <f>IF(18&lt;=B$7*12,C30*B$6/12,"")</f>
        <v/>
      </c>
      <c r="F30" s="16">
        <f>IF(18&lt;=B$7*12,MAX(C30-D30,0),"")</f>
        <v/>
      </c>
      <c r="G30" s="16">
        <f>IF(18&lt;=B$7*12,G29+E30,"")</f>
        <v/>
      </c>
    </row>
    <row r="31">
      <c r="A31" s="14">
        <f>IF(19&lt;=B$7*12,19,"")</f>
        <v/>
      </c>
      <c r="B31" s="14">
        <f>IF(19&lt;=B$7*12,TEXT(DATE(2027,10,1),"mmm yyyy"),"")</f>
        <v/>
      </c>
      <c r="C31" s="5">
        <f>IF(19&lt;=B$7*12,F30,"")</f>
        <v/>
      </c>
      <c r="D31" s="5">
        <f>IF(19&lt;=B$7*12,IFERROR(PMT(B$6/12,B$7*12,-(B4-B5)),0)-E31,"")</f>
        <v/>
      </c>
      <c r="E31" s="5">
        <f>IF(19&lt;=B$7*12,C31*B$6/12,"")</f>
        <v/>
      </c>
      <c r="F31" s="5">
        <f>IF(19&lt;=B$7*12,MAX(C31-D31,0),"")</f>
        <v/>
      </c>
      <c r="G31" s="5">
        <f>IF(19&lt;=B$7*12,G30+E31,"")</f>
        <v/>
      </c>
    </row>
    <row r="32">
      <c r="A32" s="15">
        <f>IF(20&lt;=B$7*12,20,"")</f>
        <v/>
      </c>
      <c r="B32" s="15">
        <f>IF(20&lt;=B$7*12,TEXT(DATE(2027,11,1),"mmm yyyy"),"")</f>
        <v/>
      </c>
      <c r="C32" s="16">
        <f>IF(20&lt;=B$7*12,F31,"")</f>
        <v/>
      </c>
      <c r="D32" s="16">
        <f>IF(20&lt;=B$7*12,IFERROR(PMT(B$6/12,B$7*12,-(B4-B5)),0)-E32,"")</f>
        <v/>
      </c>
      <c r="E32" s="16">
        <f>IF(20&lt;=B$7*12,C32*B$6/12,"")</f>
        <v/>
      </c>
      <c r="F32" s="16">
        <f>IF(20&lt;=B$7*12,MAX(C32-D32,0),"")</f>
        <v/>
      </c>
      <c r="G32" s="16">
        <f>IF(20&lt;=B$7*12,G31+E32,"")</f>
        <v/>
      </c>
    </row>
    <row r="33">
      <c r="A33" s="14">
        <f>IF(21&lt;=B$7*12,21,"")</f>
        <v/>
      </c>
      <c r="B33" s="14">
        <f>IF(21&lt;=B$7*12,TEXT(DATE(2027,12,1),"mmm yyyy"),"")</f>
        <v/>
      </c>
      <c r="C33" s="5">
        <f>IF(21&lt;=B$7*12,F32,"")</f>
        <v/>
      </c>
      <c r="D33" s="5">
        <f>IF(21&lt;=B$7*12,IFERROR(PMT(B$6/12,B$7*12,-(B4-B5)),0)-E33,"")</f>
        <v/>
      </c>
      <c r="E33" s="5">
        <f>IF(21&lt;=B$7*12,C33*B$6/12,"")</f>
        <v/>
      </c>
      <c r="F33" s="5">
        <f>IF(21&lt;=B$7*12,MAX(C33-D33,0),"")</f>
        <v/>
      </c>
      <c r="G33" s="5">
        <f>IF(21&lt;=B$7*12,G32+E33,"")</f>
        <v/>
      </c>
    </row>
    <row r="34">
      <c r="A34" s="15">
        <f>IF(22&lt;=B$7*12,22,"")</f>
        <v/>
      </c>
      <c r="B34" s="15">
        <f>IF(22&lt;=B$7*12,TEXT(DATE(2028,1,1),"mmm yyyy"),"")</f>
        <v/>
      </c>
      <c r="C34" s="16">
        <f>IF(22&lt;=B$7*12,F33,"")</f>
        <v/>
      </c>
      <c r="D34" s="16">
        <f>IF(22&lt;=B$7*12,IFERROR(PMT(B$6/12,B$7*12,-(B4-B5)),0)-E34,"")</f>
        <v/>
      </c>
      <c r="E34" s="16">
        <f>IF(22&lt;=B$7*12,C34*B$6/12,"")</f>
        <v/>
      </c>
      <c r="F34" s="16">
        <f>IF(22&lt;=B$7*12,MAX(C34-D34,0),"")</f>
        <v/>
      </c>
      <c r="G34" s="16">
        <f>IF(22&lt;=B$7*12,G33+E34,"")</f>
        <v/>
      </c>
    </row>
    <row r="35">
      <c r="A35" s="14">
        <f>IF(23&lt;=B$7*12,23,"")</f>
        <v/>
      </c>
      <c r="B35" s="14">
        <f>IF(23&lt;=B$7*12,TEXT(DATE(2028,2,1),"mmm yyyy"),"")</f>
        <v/>
      </c>
      <c r="C35" s="5">
        <f>IF(23&lt;=B$7*12,F34,"")</f>
        <v/>
      </c>
      <c r="D35" s="5">
        <f>IF(23&lt;=B$7*12,IFERROR(PMT(B$6/12,B$7*12,-(B4-B5)),0)-E35,"")</f>
        <v/>
      </c>
      <c r="E35" s="5">
        <f>IF(23&lt;=B$7*12,C35*B$6/12,"")</f>
        <v/>
      </c>
      <c r="F35" s="5">
        <f>IF(23&lt;=B$7*12,MAX(C35-D35,0),"")</f>
        <v/>
      </c>
      <c r="G35" s="5">
        <f>IF(23&lt;=B$7*12,G34+E35,"")</f>
        <v/>
      </c>
    </row>
    <row r="36">
      <c r="A36" s="15">
        <f>IF(24&lt;=B$7*12,24,"")</f>
        <v/>
      </c>
      <c r="B36" s="15">
        <f>IF(24&lt;=B$7*12,TEXT(DATE(2028,3,1),"mmm yyyy"),"")</f>
        <v/>
      </c>
      <c r="C36" s="16">
        <f>IF(24&lt;=B$7*12,F35,"")</f>
        <v/>
      </c>
      <c r="D36" s="16">
        <f>IF(24&lt;=B$7*12,IFERROR(PMT(B$6/12,B$7*12,-(B4-B5)),0)-E36,"")</f>
        <v/>
      </c>
      <c r="E36" s="16">
        <f>IF(24&lt;=B$7*12,C36*B$6/12,"")</f>
        <v/>
      </c>
      <c r="F36" s="16">
        <f>IF(24&lt;=B$7*12,MAX(C36-D36,0),"")</f>
        <v/>
      </c>
      <c r="G36" s="16">
        <f>IF(24&lt;=B$7*12,G35+E36,"")</f>
        <v/>
      </c>
    </row>
    <row r="37">
      <c r="A37" s="14">
        <f>IF(25&lt;=B$7*12,25,"")</f>
        <v/>
      </c>
      <c r="B37" s="14">
        <f>IF(25&lt;=B$7*12,TEXT(DATE(2028,4,1),"mmm yyyy"),"")</f>
        <v/>
      </c>
      <c r="C37" s="5">
        <f>IF(25&lt;=B$7*12,F36,"")</f>
        <v/>
      </c>
      <c r="D37" s="5">
        <f>IF(25&lt;=B$7*12,IFERROR(PMT(B$6/12,B$7*12,-(B4-B5)),0)-E37,"")</f>
        <v/>
      </c>
      <c r="E37" s="5">
        <f>IF(25&lt;=B$7*12,C37*B$6/12,"")</f>
        <v/>
      </c>
      <c r="F37" s="5">
        <f>IF(25&lt;=B$7*12,MAX(C37-D37,0),"")</f>
        <v/>
      </c>
      <c r="G37" s="5">
        <f>IF(25&lt;=B$7*12,G36+E37,"")</f>
        <v/>
      </c>
    </row>
    <row r="38">
      <c r="A38" s="15">
        <f>IF(26&lt;=B$7*12,26,"")</f>
        <v/>
      </c>
      <c r="B38" s="15">
        <f>IF(26&lt;=B$7*12,TEXT(DATE(2028,5,1),"mmm yyyy"),"")</f>
        <v/>
      </c>
      <c r="C38" s="16">
        <f>IF(26&lt;=B$7*12,F37,"")</f>
        <v/>
      </c>
      <c r="D38" s="16">
        <f>IF(26&lt;=B$7*12,IFERROR(PMT(B$6/12,B$7*12,-(B4-B5)),0)-E38,"")</f>
        <v/>
      </c>
      <c r="E38" s="16">
        <f>IF(26&lt;=B$7*12,C38*B$6/12,"")</f>
        <v/>
      </c>
      <c r="F38" s="16">
        <f>IF(26&lt;=B$7*12,MAX(C38-D38,0),"")</f>
        <v/>
      </c>
      <c r="G38" s="16">
        <f>IF(26&lt;=B$7*12,G37+E38,"")</f>
        <v/>
      </c>
    </row>
    <row r="39">
      <c r="A39" s="14">
        <f>IF(27&lt;=B$7*12,27,"")</f>
        <v/>
      </c>
      <c r="B39" s="14">
        <f>IF(27&lt;=B$7*12,TEXT(DATE(2028,6,1),"mmm yyyy"),"")</f>
        <v/>
      </c>
      <c r="C39" s="5">
        <f>IF(27&lt;=B$7*12,F38,"")</f>
        <v/>
      </c>
      <c r="D39" s="5">
        <f>IF(27&lt;=B$7*12,IFERROR(PMT(B$6/12,B$7*12,-(B4-B5)),0)-E39,"")</f>
        <v/>
      </c>
      <c r="E39" s="5">
        <f>IF(27&lt;=B$7*12,C39*B$6/12,"")</f>
        <v/>
      </c>
      <c r="F39" s="5">
        <f>IF(27&lt;=B$7*12,MAX(C39-D39,0),"")</f>
        <v/>
      </c>
      <c r="G39" s="5">
        <f>IF(27&lt;=B$7*12,G38+E39,"")</f>
        <v/>
      </c>
    </row>
    <row r="40">
      <c r="A40" s="15">
        <f>IF(28&lt;=B$7*12,28,"")</f>
        <v/>
      </c>
      <c r="B40" s="15">
        <f>IF(28&lt;=B$7*12,TEXT(DATE(2028,7,1),"mmm yyyy"),"")</f>
        <v/>
      </c>
      <c r="C40" s="16">
        <f>IF(28&lt;=B$7*12,F39,"")</f>
        <v/>
      </c>
      <c r="D40" s="16">
        <f>IF(28&lt;=B$7*12,IFERROR(PMT(B$6/12,B$7*12,-(B4-B5)),0)-E40,"")</f>
        <v/>
      </c>
      <c r="E40" s="16">
        <f>IF(28&lt;=B$7*12,C40*B$6/12,"")</f>
        <v/>
      </c>
      <c r="F40" s="16">
        <f>IF(28&lt;=B$7*12,MAX(C40-D40,0),"")</f>
        <v/>
      </c>
      <c r="G40" s="16">
        <f>IF(28&lt;=B$7*12,G39+E40,"")</f>
        <v/>
      </c>
    </row>
    <row r="41">
      <c r="A41" s="14">
        <f>IF(29&lt;=B$7*12,29,"")</f>
        <v/>
      </c>
      <c r="B41" s="14">
        <f>IF(29&lt;=B$7*12,TEXT(DATE(2028,8,1),"mmm yyyy"),"")</f>
        <v/>
      </c>
      <c r="C41" s="5">
        <f>IF(29&lt;=B$7*12,F40,"")</f>
        <v/>
      </c>
      <c r="D41" s="5">
        <f>IF(29&lt;=B$7*12,IFERROR(PMT(B$6/12,B$7*12,-(B4-B5)),0)-E41,"")</f>
        <v/>
      </c>
      <c r="E41" s="5">
        <f>IF(29&lt;=B$7*12,C41*B$6/12,"")</f>
        <v/>
      </c>
      <c r="F41" s="5">
        <f>IF(29&lt;=B$7*12,MAX(C41-D41,0),"")</f>
        <v/>
      </c>
      <c r="G41" s="5">
        <f>IF(29&lt;=B$7*12,G40+E41,"")</f>
        <v/>
      </c>
    </row>
    <row r="42">
      <c r="A42" s="15">
        <f>IF(30&lt;=B$7*12,30,"")</f>
        <v/>
      </c>
      <c r="B42" s="15">
        <f>IF(30&lt;=B$7*12,TEXT(DATE(2028,9,1),"mmm yyyy"),"")</f>
        <v/>
      </c>
      <c r="C42" s="16">
        <f>IF(30&lt;=B$7*12,F41,"")</f>
        <v/>
      </c>
      <c r="D42" s="16">
        <f>IF(30&lt;=B$7*12,IFERROR(PMT(B$6/12,B$7*12,-(B4-B5)),0)-E42,"")</f>
        <v/>
      </c>
      <c r="E42" s="16">
        <f>IF(30&lt;=B$7*12,C42*B$6/12,"")</f>
        <v/>
      </c>
      <c r="F42" s="16">
        <f>IF(30&lt;=B$7*12,MAX(C42-D42,0),"")</f>
        <v/>
      </c>
      <c r="G42" s="16">
        <f>IF(30&lt;=B$7*12,G41+E42,"")</f>
        <v/>
      </c>
    </row>
    <row r="43">
      <c r="A43" s="14">
        <f>IF(31&lt;=B$7*12,31,"")</f>
        <v/>
      </c>
      <c r="B43" s="14">
        <f>IF(31&lt;=B$7*12,TEXT(DATE(2028,10,1),"mmm yyyy"),"")</f>
        <v/>
      </c>
      <c r="C43" s="5">
        <f>IF(31&lt;=B$7*12,F42,"")</f>
        <v/>
      </c>
      <c r="D43" s="5">
        <f>IF(31&lt;=B$7*12,IFERROR(PMT(B$6/12,B$7*12,-(B4-B5)),0)-E43,"")</f>
        <v/>
      </c>
      <c r="E43" s="5">
        <f>IF(31&lt;=B$7*12,C43*B$6/12,"")</f>
        <v/>
      </c>
      <c r="F43" s="5">
        <f>IF(31&lt;=B$7*12,MAX(C43-D43,0),"")</f>
        <v/>
      </c>
      <c r="G43" s="5">
        <f>IF(31&lt;=B$7*12,G42+E43,"")</f>
        <v/>
      </c>
    </row>
    <row r="44">
      <c r="A44" s="15">
        <f>IF(32&lt;=B$7*12,32,"")</f>
        <v/>
      </c>
      <c r="B44" s="15">
        <f>IF(32&lt;=B$7*12,TEXT(DATE(2028,11,1),"mmm yyyy"),"")</f>
        <v/>
      </c>
      <c r="C44" s="16">
        <f>IF(32&lt;=B$7*12,F43,"")</f>
        <v/>
      </c>
      <c r="D44" s="16">
        <f>IF(32&lt;=B$7*12,IFERROR(PMT(B$6/12,B$7*12,-(B4-B5)),0)-E44,"")</f>
        <v/>
      </c>
      <c r="E44" s="16">
        <f>IF(32&lt;=B$7*12,C44*B$6/12,"")</f>
        <v/>
      </c>
      <c r="F44" s="16">
        <f>IF(32&lt;=B$7*12,MAX(C44-D44,0),"")</f>
        <v/>
      </c>
      <c r="G44" s="16">
        <f>IF(32&lt;=B$7*12,G43+E44,"")</f>
        <v/>
      </c>
    </row>
    <row r="45">
      <c r="A45" s="14">
        <f>IF(33&lt;=B$7*12,33,"")</f>
        <v/>
      </c>
      <c r="B45" s="14">
        <f>IF(33&lt;=B$7*12,TEXT(DATE(2028,12,1),"mmm yyyy"),"")</f>
        <v/>
      </c>
      <c r="C45" s="5">
        <f>IF(33&lt;=B$7*12,F44,"")</f>
        <v/>
      </c>
      <c r="D45" s="5">
        <f>IF(33&lt;=B$7*12,IFERROR(PMT(B$6/12,B$7*12,-(B4-B5)),0)-E45,"")</f>
        <v/>
      </c>
      <c r="E45" s="5">
        <f>IF(33&lt;=B$7*12,C45*B$6/12,"")</f>
        <v/>
      </c>
      <c r="F45" s="5">
        <f>IF(33&lt;=B$7*12,MAX(C45-D45,0),"")</f>
        <v/>
      </c>
      <c r="G45" s="5">
        <f>IF(33&lt;=B$7*12,G44+E45,"")</f>
        <v/>
      </c>
    </row>
    <row r="46">
      <c r="A46" s="15">
        <f>IF(34&lt;=B$7*12,34,"")</f>
        <v/>
      </c>
      <c r="B46" s="15">
        <f>IF(34&lt;=B$7*12,TEXT(DATE(2029,1,1),"mmm yyyy"),"")</f>
        <v/>
      </c>
      <c r="C46" s="16">
        <f>IF(34&lt;=B$7*12,F45,"")</f>
        <v/>
      </c>
      <c r="D46" s="16">
        <f>IF(34&lt;=B$7*12,IFERROR(PMT(B$6/12,B$7*12,-(B4-B5)),0)-E46,"")</f>
        <v/>
      </c>
      <c r="E46" s="16">
        <f>IF(34&lt;=B$7*12,C46*B$6/12,"")</f>
        <v/>
      </c>
      <c r="F46" s="16">
        <f>IF(34&lt;=B$7*12,MAX(C46-D46,0),"")</f>
        <v/>
      </c>
      <c r="G46" s="16">
        <f>IF(34&lt;=B$7*12,G45+E46,"")</f>
        <v/>
      </c>
    </row>
    <row r="47">
      <c r="A47" s="14">
        <f>IF(35&lt;=B$7*12,35,"")</f>
        <v/>
      </c>
      <c r="B47" s="14">
        <f>IF(35&lt;=B$7*12,TEXT(DATE(2029,2,1),"mmm yyyy"),"")</f>
        <v/>
      </c>
      <c r="C47" s="5">
        <f>IF(35&lt;=B$7*12,F46,"")</f>
        <v/>
      </c>
      <c r="D47" s="5">
        <f>IF(35&lt;=B$7*12,IFERROR(PMT(B$6/12,B$7*12,-(B4-B5)),0)-E47,"")</f>
        <v/>
      </c>
      <c r="E47" s="5">
        <f>IF(35&lt;=B$7*12,C47*B$6/12,"")</f>
        <v/>
      </c>
      <c r="F47" s="5">
        <f>IF(35&lt;=B$7*12,MAX(C47-D47,0),"")</f>
        <v/>
      </c>
      <c r="G47" s="5">
        <f>IF(35&lt;=B$7*12,G46+E47,"")</f>
        <v/>
      </c>
    </row>
    <row r="48">
      <c r="A48" s="15">
        <f>IF(36&lt;=B$7*12,36,"")</f>
        <v/>
      </c>
      <c r="B48" s="15">
        <f>IF(36&lt;=B$7*12,TEXT(DATE(2029,3,1),"mmm yyyy"),"")</f>
        <v/>
      </c>
      <c r="C48" s="16">
        <f>IF(36&lt;=B$7*12,F47,"")</f>
        <v/>
      </c>
      <c r="D48" s="16">
        <f>IF(36&lt;=B$7*12,IFERROR(PMT(B$6/12,B$7*12,-(B4-B5)),0)-E48,"")</f>
        <v/>
      </c>
      <c r="E48" s="16">
        <f>IF(36&lt;=B$7*12,C48*B$6/12,"")</f>
        <v/>
      </c>
      <c r="F48" s="16">
        <f>IF(36&lt;=B$7*12,MAX(C48-D48,0),"")</f>
        <v/>
      </c>
      <c r="G48" s="16">
        <f>IF(36&lt;=B$7*12,G47+E48,"")</f>
        <v/>
      </c>
    </row>
    <row r="49">
      <c r="A49" s="14">
        <f>IF(37&lt;=B$7*12,37,"")</f>
        <v/>
      </c>
      <c r="B49" s="14">
        <f>IF(37&lt;=B$7*12,TEXT(DATE(2029,4,1),"mmm yyyy"),"")</f>
        <v/>
      </c>
      <c r="C49" s="5">
        <f>IF(37&lt;=B$7*12,F48,"")</f>
        <v/>
      </c>
      <c r="D49" s="5">
        <f>IF(37&lt;=B$7*12,IFERROR(PMT(B$6/12,B$7*12,-(B4-B5)),0)-E49,"")</f>
        <v/>
      </c>
      <c r="E49" s="5">
        <f>IF(37&lt;=B$7*12,C49*B$6/12,"")</f>
        <v/>
      </c>
      <c r="F49" s="5">
        <f>IF(37&lt;=B$7*12,MAX(C49-D49,0),"")</f>
        <v/>
      </c>
      <c r="G49" s="5">
        <f>IF(37&lt;=B$7*12,G48+E49,"")</f>
        <v/>
      </c>
    </row>
    <row r="50">
      <c r="A50" s="15">
        <f>IF(38&lt;=B$7*12,38,"")</f>
        <v/>
      </c>
      <c r="B50" s="15">
        <f>IF(38&lt;=B$7*12,TEXT(DATE(2029,5,1),"mmm yyyy"),"")</f>
        <v/>
      </c>
      <c r="C50" s="16">
        <f>IF(38&lt;=B$7*12,F49,"")</f>
        <v/>
      </c>
      <c r="D50" s="16">
        <f>IF(38&lt;=B$7*12,IFERROR(PMT(B$6/12,B$7*12,-(B4-B5)),0)-E50,"")</f>
        <v/>
      </c>
      <c r="E50" s="16">
        <f>IF(38&lt;=B$7*12,C50*B$6/12,"")</f>
        <v/>
      </c>
      <c r="F50" s="16">
        <f>IF(38&lt;=B$7*12,MAX(C50-D50,0),"")</f>
        <v/>
      </c>
      <c r="G50" s="16">
        <f>IF(38&lt;=B$7*12,G49+E50,"")</f>
        <v/>
      </c>
    </row>
    <row r="51">
      <c r="A51" s="14">
        <f>IF(39&lt;=B$7*12,39,"")</f>
        <v/>
      </c>
      <c r="B51" s="14">
        <f>IF(39&lt;=B$7*12,TEXT(DATE(2029,6,1),"mmm yyyy"),"")</f>
        <v/>
      </c>
      <c r="C51" s="5">
        <f>IF(39&lt;=B$7*12,F50,"")</f>
        <v/>
      </c>
      <c r="D51" s="5">
        <f>IF(39&lt;=B$7*12,IFERROR(PMT(B$6/12,B$7*12,-(B4-B5)),0)-E51,"")</f>
        <v/>
      </c>
      <c r="E51" s="5">
        <f>IF(39&lt;=B$7*12,C51*B$6/12,"")</f>
        <v/>
      </c>
      <c r="F51" s="5">
        <f>IF(39&lt;=B$7*12,MAX(C51-D51,0),"")</f>
        <v/>
      </c>
      <c r="G51" s="5">
        <f>IF(39&lt;=B$7*12,G50+E51,"")</f>
        <v/>
      </c>
    </row>
    <row r="52">
      <c r="A52" s="15">
        <f>IF(40&lt;=B$7*12,40,"")</f>
        <v/>
      </c>
      <c r="B52" s="15">
        <f>IF(40&lt;=B$7*12,TEXT(DATE(2029,7,1),"mmm yyyy"),"")</f>
        <v/>
      </c>
      <c r="C52" s="16">
        <f>IF(40&lt;=B$7*12,F51,"")</f>
        <v/>
      </c>
      <c r="D52" s="16">
        <f>IF(40&lt;=B$7*12,IFERROR(PMT(B$6/12,B$7*12,-(B4-B5)),0)-E52,"")</f>
        <v/>
      </c>
      <c r="E52" s="16">
        <f>IF(40&lt;=B$7*12,C52*B$6/12,"")</f>
        <v/>
      </c>
      <c r="F52" s="16">
        <f>IF(40&lt;=B$7*12,MAX(C52-D52,0),"")</f>
        <v/>
      </c>
      <c r="G52" s="16">
        <f>IF(40&lt;=B$7*12,G51+E52,"")</f>
        <v/>
      </c>
    </row>
    <row r="53">
      <c r="A53" s="14">
        <f>IF(41&lt;=B$7*12,41,"")</f>
        <v/>
      </c>
      <c r="B53" s="14">
        <f>IF(41&lt;=B$7*12,TEXT(DATE(2029,8,1),"mmm yyyy"),"")</f>
        <v/>
      </c>
      <c r="C53" s="5">
        <f>IF(41&lt;=B$7*12,F52,"")</f>
        <v/>
      </c>
      <c r="D53" s="5">
        <f>IF(41&lt;=B$7*12,IFERROR(PMT(B$6/12,B$7*12,-(B4-B5)),0)-E53,"")</f>
        <v/>
      </c>
      <c r="E53" s="5">
        <f>IF(41&lt;=B$7*12,C53*B$6/12,"")</f>
        <v/>
      </c>
      <c r="F53" s="5">
        <f>IF(41&lt;=B$7*12,MAX(C53-D53,0),"")</f>
        <v/>
      </c>
      <c r="G53" s="5">
        <f>IF(41&lt;=B$7*12,G52+E53,"")</f>
        <v/>
      </c>
    </row>
    <row r="54">
      <c r="A54" s="15">
        <f>IF(42&lt;=B$7*12,42,"")</f>
        <v/>
      </c>
      <c r="B54" s="15">
        <f>IF(42&lt;=B$7*12,TEXT(DATE(2029,9,1),"mmm yyyy"),"")</f>
        <v/>
      </c>
      <c r="C54" s="16">
        <f>IF(42&lt;=B$7*12,F53,"")</f>
        <v/>
      </c>
      <c r="D54" s="16">
        <f>IF(42&lt;=B$7*12,IFERROR(PMT(B$6/12,B$7*12,-(B4-B5)),0)-E54,"")</f>
        <v/>
      </c>
      <c r="E54" s="16">
        <f>IF(42&lt;=B$7*12,C54*B$6/12,"")</f>
        <v/>
      </c>
      <c r="F54" s="16">
        <f>IF(42&lt;=B$7*12,MAX(C54-D54,0),"")</f>
        <v/>
      </c>
      <c r="G54" s="16">
        <f>IF(42&lt;=B$7*12,G53+E54,"")</f>
        <v/>
      </c>
    </row>
    <row r="55">
      <c r="A55" s="14">
        <f>IF(43&lt;=B$7*12,43,"")</f>
        <v/>
      </c>
      <c r="B55" s="14">
        <f>IF(43&lt;=B$7*12,TEXT(DATE(2029,10,1),"mmm yyyy"),"")</f>
        <v/>
      </c>
      <c r="C55" s="5">
        <f>IF(43&lt;=B$7*12,F54,"")</f>
        <v/>
      </c>
      <c r="D55" s="5">
        <f>IF(43&lt;=B$7*12,IFERROR(PMT(B$6/12,B$7*12,-(B4-B5)),0)-E55,"")</f>
        <v/>
      </c>
      <c r="E55" s="5">
        <f>IF(43&lt;=B$7*12,C55*B$6/12,"")</f>
        <v/>
      </c>
      <c r="F55" s="5">
        <f>IF(43&lt;=B$7*12,MAX(C55-D55,0),"")</f>
        <v/>
      </c>
      <c r="G55" s="5">
        <f>IF(43&lt;=B$7*12,G54+E55,"")</f>
        <v/>
      </c>
    </row>
    <row r="56">
      <c r="A56" s="15">
        <f>IF(44&lt;=B$7*12,44,"")</f>
        <v/>
      </c>
      <c r="B56" s="15">
        <f>IF(44&lt;=B$7*12,TEXT(DATE(2029,11,1),"mmm yyyy"),"")</f>
        <v/>
      </c>
      <c r="C56" s="16">
        <f>IF(44&lt;=B$7*12,F55,"")</f>
        <v/>
      </c>
      <c r="D56" s="16">
        <f>IF(44&lt;=B$7*12,IFERROR(PMT(B$6/12,B$7*12,-(B4-B5)),0)-E56,"")</f>
        <v/>
      </c>
      <c r="E56" s="16">
        <f>IF(44&lt;=B$7*12,C56*B$6/12,"")</f>
        <v/>
      </c>
      <c r="F56" s="16">
        <f>IF(44&lt;=B$7*12,MAX(C56-D56,0),"")</f>
        <v/>
      </c>
      <c r="G56" s="16">
        <f>IF(44&lt;=B$7*12,G55+E56,"")</f>
        <v/>
      </c>
    </row>
    <row r="57">
      <c r="A57" s="14">
        <f>IF(45&lt;=B$7*12,45,"")</f>
        <v/>
      </c>
      <c r="B57" s="14">
        <f>IF(45&lt;=B$7*12,TEXT(DATE(2029,12,1),"mmm yyyy"),"")</f>
        <v/>
      </c>
      <c r="C57" s="5">
        <f>IF(45&lt;=B$7*12,F56,"")</f>
        <v/>
      </c>
      <c r="D57" s="5">
        <f>IF(45&lt;=B$7*12,IFERROR(PMT(B$6/12,B$7*12,-(B4-B5)),0)-E57,"")</f>
        <v/>
      </c>
      <c r="E57" s="5">
        <f>IF(45&lt;=B$7*12,C57*B$6/12,"")</f>
        <v/>
      </c>
      <c r="F57" s="5">
        <f>IF(45&lt;=B$7*12,MAX(C57-D57,0),"")</f>
        <v/>
      </c>
      <c r="G57" s="5">
        <f>IF(45&lt;=B$7*12,G56+E57,"")</f>
        <v/>
      </c>
    </row>
    <row r="58">
      <c r="A58" s="15">
        <f>IF(46&lt;=B$7*12,46,"")</f>
        <v/>
      </c>
      <c r="B58" s="15">
        <f>IF(46&lt;=B$7*12,TEXT(DATE(2030,1,1),"mmm yyyy"),"")</f>
        <v/>
      </c>
      <c r="C58" s="16">
        <f>IF(46&lt;=B$7*12,F57,"")</f>
        <v/>
      </c>
      <c r="D58" s="16">
        <f>IF(46&lt;=B$7*12,IFERROR(PMT(B$6/12,B$7*12,-(B4-B5)),0)-E58,"")</f>
        <v/>
      </c>
      <c r="E58" s="16">
        <f>IF(46&lt;=B$7*12,C58*B$6/12,"")</f>
        <v/>
      </c>
      <c r="F58" s="16">
        <f>IF(46&lt;=B$7*12,MAX(C58-D58,0),"")</f>
        <v/>
      </c>
      <c r="G58" s="16">
        <f>IF(46&lt;=B$7*12,G57+E58,"")</f>
        <v/>
      </c>
    </row>
    <row r="59">
      <c r="A59" s="14">
        <f>IF(47&lt;=B$7*12,47,"")</f>
        <v/>
      </c>
      <c r="B59" s="14">
        <f>IF(47&lt;=B$7*12,TEXT(DATE(2030,2,1),"mmm yyyy"),"")</f>
        <v/>
      </c>
      <c r="C59" s="5">
        <f>IF(47&lt;=B$7*12,F58,"")</f>
        <v/>
      </c>
      <c r="D59" s="5">
        <f>IF(47&lt;=B$7*12,IFERROR(PMT(B$6/12,B$7*12,-(B4-B5)),0)-E59,"")</f>
        <v/>
      </c>
      <c r="E59" s="5">
        <f>IF(47&lt;=B$7*12,C59*B$6/12,"")</f>
        <v/>
      </c>
      <c r="F59" s="5">
        <f>IF(47&lt;=B$7*12,MAX(C59-D59,0),"")</f>
        <v/>
      </c>
      <c r="G59" s="5">
        <f>IF(47&lt;=B$7*12,G58+E59,"")</f>
        <v/>
      </c>
    </row>
    <row r="60">
      <c r="A60" s="15">
        <f>IF(48&lt;=B$7*12,48,"")</f>
        <v/>
      </c>
      <c r="B60" s="15">
        <f>IF(48&lt;=B$7*12,TEXT(DATE(2030,3,1),"mmm yyyy"),"")</f>
        <v/>
      </c>
      <c r="C60" s="16">
        <f>IF(48&lt;=B$7*12,F59,"")</f>
        <v/>
      </c>
      <c r="D60" s="16">
        <f>IF(48&lt;=B$7*12,IFERROR(PMT(B$6/12,B$7*12,-(B4-B5)),0)-E60,"")</f>
        <v/>
      </c>
      <c r="E60" s="16">
        <f>IF(48&lt;=B$7*12,C60*B$6/12,"")</f>
        <v/>
      </c>
      <c r="F60" s="16">
        <f>IF(48&lt;=B$7*12,MAX(C60-D60,0),"")</f>
        <v/>
      </c>
      <c r="G60" s="16">
        <f>IF(48&lt;=B$7*12,G59+E60,"")</f>
        <v/>
      </c>
    </row>
    <row r="61">
      <c r="A61" s="14">
        <f>IF(49&lt;=B$7*12,49,"")</f>
        <v/>
      </c>
      <c r="B61" s="14">
        <f>IF(49&lt;=B$7*12,TEXT(DATE(2030,4,1),"mmm yyyy"),"")</f>
        <v/>
      </c>
      <c r="C61" s="5">
        <f>IF(49&lt;=B$7*12,F60,"")</f>
        <v/>
      </c>
      <c r="D61" s="5">
        <f>IF(49&lt;=B$7*12,IFERROR(PMT(B$6/12,B$7*12,-(B4-B5)),0)-E61,"")</f>
        <v/>
      </c>
      <c r="E61" s="5">
        <f>IF(49&lt;=B$7*12,C61*B$6/12,"")</f>
        <v/>
      </c>
      <c r="F61" s="5">
        <f>IF(49&lt;=B$7*12,MAX(C61-D61,0),"")</f>
        <v/>
      </c>
      <c r="G61" s="5">
        <f>IF(49&lt;=B$7*12,G60+E61,"")</f>
        <v/>
      </c>
    </row>
    <row r="62">
      <c r="A62" s="15">
        <f>IF(50&lt;=B$7*12,50,"")</f>
        <v/>
      </c>
      <c r="B62" s="15">
        <f>IF(50&lt;=B$7*12,TEXT(DATE(2030,5,1),"mmm yyyy"),"")</f>
        <v/>
      </c>
      <c r="C62" s="16">
        <f>IF(50&lt;=B$7*12,F61,"")</f>
        <v/>
      </c>
      <c r="D62" s="16">
        <f>IF(50&lt;=B$7*12,IFERROR(PMT(B$6/12,B$7*12,-(B4-B5)),0)-E62,"")</f>
        <v/>
      </c>
      <c r="E62" s="16">
        <f>IF(50&lt;=B$7*12,C62*B$6/12,"")</f>
        <v/>
      </c>
      <c r="F62" s="16">
        <f>IF(50&lt;=B$7*12,MAX(C62-D62,0),"")</f>
        <v/>
      </c>
      <c r="G62" s="16">
        <f>IF(50&lt;=B$7*12,G61+E62,"")</f>
        <v/>
      </c>
    </row>
    <row r="63">
      <c r="A63" s="14">
        <f>IF(51&lt;=B$7*12,51,"")</f>
        <v/>
      </c>
      <c r="B63" s="14">
        <f>IF(51&lt;=B$7*12,TEXT(DATE(2030,6,1),"mmm yyyy"),"")</f>
        <v/>
      </c>
      <c r="C63" s="5">
        <f>IF(51&lt;=B$7*12,F62,"")</f>
        <v/>
      </c>
      <c r="D63" s="5">
        <f>IF(51&lt;=B$7*12,IFERROR(PMT(B$6/12,B$7*12,-(B4-B5)),0)-E63,"")</f>
        <v/>
      </c>
      <c r="E63" s="5">
        <f>IF(51&lt;=B$7*12,C63*B$6/12,"")</f>
        <v/>
      </c>
      <c r="F63" s="5">
        <f>IF(51&lt;=B$7*12,MAX(C63-D63,0),"")</f>
        <v/>
      </c>
      <c r="G63" s="5">
        <f>IF(51&lt;=B$7*12,G62+E63,"")</f>
        <v/>
      </c>
    </row>
    <row r="64">
      <c r="A64" s="15">
        <f>IF(52&lt;=B$7*12,52,"")</f>
        <v/>
      </c>
      <c r="B64" s="15">
        <f>IF(52&lt;=B$7*12,TEXT(DATE(2030,7,1),"mmm yyyy"),"")</f>
        <v/>
      </c>
      <c r="C64" s="16">
        <f>IF(52&lt;=B$7*12,F63,"")</f>
        <v/>
      </c>
      <c r="D64" s="16">
        <f>IF(52&lt;=B$7*12,IFERROR(PMT(B$6/12,B$7*12,-(B4-B5)),0)-E64,"")</f>
        <v/>
      </c>
      <c r="E64" s="16">
        <f>IF(52&lt;=B$7*12,C64*B$6/12,"")</f>
        <v/>
      </c>
      <c r="F64" s="16">
        <f>IF(52&lt;=B$7*12,MAX(C64-D64,0),"")</f>
        <v/>
      </c>
      <c r="G64" s="16">
        <f>IF(52&lt;=B$7*12,G63+E64,"")</f>
        <v/>
      </c>
    </row>
    <row r="65">
      <c r="A65" s="14">
        <f>IF(53&lt;=B$7*12,53,"")</f>
        <v/>
      </c>
      <c r="B65" s="14">
        <f>IF(53&lt;=B$7*12,TEXT(DATE(2030,8,1),"mmm yyyy"),"")</f>
        <v/>
      </c>
      <c r="C65" s="5">
        <f>IF(53&lt;=B$7*12,F64,"")</f>
        <v/>
      </c>
      <c r="D65" s="5">
        <f>IF(53&lt;=B$7*12,IFERROR(PMT(B$6/12,B$7*12,-(B4-B5)),0)-E65,"")</f>
        <v/>
      </c>
      <c r="E65" s="5">
        <f>IF(53&lt;=B$7*12,C65*B$6/12,"")</f>
        <v/>
      </c>
      <c r="F65" s="5">
        <f>IF(53&lt;=B$7*12,MAX(C65-D65,0),"")</f>
        <v/>
      </c>
      <c r="G65" s="5">
        <f>IF(53&lt;=B$7*12,G64+E65,"")</f>
        <v/>
      </c>
    </row>
    <row r="66">
      <c r="A66" s="15">
        <f>IF(54&lt;=B$7*12,54,"")</f>
        <v/>
      </c>
      <c r="B66" s="15">
        <f>IF(54&lt;=B$7*12,TEXT(DATE(2030,9,1),"mmm yyyy"),"")</f>
        <v/>
      </c>
      <c r="C66" s="16">
        <f>IF(54&lt;=B$7*12,F65,"")</f>
        <v/>
      </c>
      <c r="D66" s="16">
        <f>IF(54&lt;=B$7*12,IFERROR(PMT(B$6/12,B$7*12,-(B4-B5)),0)-E66,"")</f>
        <v/>
      </c>
      <c r="E66" s="16">
        <f>IF(54&lt;=B$7*12,C66*B$6/12,"")</f>
        <v/>
      </c>
      <c r="F66" s="16">
        <f>IF(54&lt;=B$7*12,MAX(C66-D66,0),"")</f>
        <v/>
      </c>
      <c r="G66" s="16">
        <f>IF(54&lt;=B$7*12,G65+E66,"")</f>
        <v/>
      </c>
    </row>
    <row r="67">
      <c r="A67" s="14">
        <f>IF(55&lt;=B$7*12,55,"")</f>
        <v/>
      </c>
      <c r="B67" s="14">
        <f>IF(55&lt;=B$7*12,TEXT(DATE(2030,10,1),"mmm yyyy"),"")</f>
        <v/>
      </c>
      <c r="C67" s="5">
        <f>IF(55&lt;=B$7*12,F66,"")</f>
        <v/>
      </c>
      <c r="D67" s="5">
        <f>IF(55&lt;=B$7*12,IFERROR(PMT(B$6/12,B$7*12,-(B4-B5)),0)-E67,"")</f>
        <v/>
      </c>
      <c r="E67" s="5">
        <f>IF(55&lt;=B$7*12,C67*B$6/12,"")</f>
        <v/>
      </c>
      <c r="F67" s="5">
        <f>IF(55&lt;=B$7*12,MAX(C67-D67,0),"")</f>
        <v/>
      </c>
      <c r="G67" s="5">
        <f>IF(55&lt;=B$7*12,G66+E67,"")</f>
        <v/>
      </c>
    </row>
    <row r="68">
      <c r="A68" s="15">
        <f>IF(56&lt;=B$7*12,56,"")</f>
        <v/>
      </c>
      <c r="B68" s="15">
        <f>IF(56&lt;=B$7*12,TEXT(DATE(2030,11,1),"mmm yyyy"),"")</f>
        <v/>
      </c>
      <c r="C68" s="16">
        <f>IF(56&lt;=B$7*12,F67,"")</f>
        <v/>
      </c>
      <c r="D68" s="16">
        <f>IF(56&lt;=B$7*12,IFERROR(PMT(B$6/12,B$7*12,-(B4-B5)),0)-E68,"")</f>
        <v/>
      </c>
      <c r="E68" s="16">
        <f>IF(56&lt;=B$7*12,C68*B$6/12,"")</f>
        <v/>
      </c>
      <c r="F68" s="16">
        <f>IF(56&lt;=B$7*12,MAX(C68-D68,0),"")</f>
        <v/>
      </c>
      <c r="G68" s="16">
        <f>IF(56&lt;=B$7*12,G67+E68,"")</f>
        <v/>
      </c>
    </row>
    <row r="69">
      <c r="A69" s="14">
        <f>IF(57&lt;=B$7*12,57,"")</f>
        <v/>
      </c>
      <c r="B69" s="14">
        <f>IF(57&lt;=B$7*12,TEXT(DATE(2030,12,1),"mmm yyyy"),"")</f>
        <v/>
      </c>
      <c r="C69" s="5">
        <f>IF(57&lt;=B$7*12,F68,"")</f>
        <v/>
      </c>
      <c r="D69" s="5">
        <f>IF(57&lt;=B$7*12,IFERROR(PMT(B$6/12,B$7*12,-(B4-B5)),0)-E69,"")</f>
        <v/>
      </c>
      <c r="E69" s="5">
        <f>IF(57&lt;=B$7*12,C69*B$6/12,"")</f>
        <v/>
      </c>
      <c r="F69" s="5">
        <f>IF(57&lt;=B$7*12,MAX(C69-D69,0),"")</f>
        <v/>
      </c>
      <c r="G69" s="5">
        <f>IF(57&lt;=B$7*12,G68+E69,"")</f>
        <v/>
      </c>
    </row>
    <row r="70">
      <c r="A70" s="15">
        <f>IF(58&lt;=B$7*12,58,"")</f>
        <v/>
      </c>
      <c r="B70" s="15">
        <f>IF(58&lt;=B$7*12,TEXT(DATE(2031,1,1),"mmm yyyy"),"")</f>
        <v/>
      </c>
      <c r="C70" s="16">
        <f>IF(58&lt;=B$7*12,F69,"")</f>
        <v/>
      </c>
      <c r="D70" s="16">
        <f>IF(58&lt;=B$7*12,IFERROR(PMT(B$6/12,B$7*12,-(B4-B5)),0)-E70,"")</f>
        <v/>
      </c>
      <c r="E70" s="16">
        <f>IF(58&lt;=B$7*12,C70*B$6/12,"")</f>
        <v/>
      </c>
      <c r="F70" s="16">
        <f>IF(58&lt;=B$7*12,MAX(C70-D70,0),"")</f>
        <v/>
      </c>
      <c r="G70" s="16">
        <f>IF(58&lt;=B$7*12,G69+E70,"")</f>
        <v/>
      </c>
    </row>
    <row r="71">
      <c r="A71" s="14">
        <f>IF(59&lt;=B$7*12,59,"")</f>
        <v/>
      </c>
      <c r="B71" s="14">
        <f>IF(59&lt;=B$7*12,TEXT(DATE(2031,2,1),"mmm yyyy"),"")</f>
        <v/>
      </c>
      <c r="C71" s="5">
        <f>IF(59&lt;=B$7*12,F70,"")</f>
        <v/>
      </c>
      <c r="D71" s="5">
        <f>IF(59&lt;=B$7*12,IFERROR(PMT(B$6/12,B$7*12,-(B4-B5)),0)-E71,"")</f>
        <v/>
      </c>
      <c r="E71" s="5">
        <f>IF(59&lt;=B$7*12,C71*B$6/12,"")</f>
        <v/>
      </c>
      <c r="F71" s="5">
        <f>IF(59&lt;=B$7*12,MAX(C71-D71,0),"")</f>
        <v/>
      </c>
      <c r="G71" s="5">
        <f>IF(59&lt;=B$7*12,G70+E71,"")</f>
        <v/>
      </c>
    </row>
    <row r="72">
      <c r="A72" s="15">
        <f>IF(60&lt;=B$7*12,60,"")</f>
        <v/>
      </c>
      <c r="B72" s="15">
        <f>IF(60&lt;=B$7*12,TEXT(DATE(2031,3,1),"mmm yyyy"),"")</f>
        <v/>
      </c>
      <c r="C72" s="16">
        <f>IF(60&lt;=B$7*12,F71,"")</f>
        <v/>
      </c>
      <c r="D72" s="16">
        <f>IF(60&lt;=B$7*12,IFERROR(PMT(B$6/12,B$7*12,-(B4-B5)),0)-E72,"")</f>
        <v/>
      </c>
      <c r="E72" s="16">
        <f>IF(60&lt;=B$7*12,C72*B$6/12,"")</f>
        <v/>
      </c>
      <c r="F72" s="16">
        <f>IF(60&lt;=B$7*12,MAX(C72-D72,0),"")</f>
        <v/>
      </c>
      <c r="G72" s="16">
        <f>IF(60&lt;=B$7*12,G71+E72,"")</f>
        <v/>
      </c>
    </row>
    <row r="73">
      <c r="A73" s="14">
        <f>IF(61&lt;=B$7*12,61,"")</f>
        <v/>
      </c>
      <c r="B73" s="14">
        <f>IF(61&lt;=B$7*12,TEXT(DATE(2031,4,1),"mmm yyyy"),"")</f>
        <v/>
      </c>
      <c r="C73" s="5">
        <f>IF(61&lt;=B$7*12,F72,"")</f>
        <v/>
      </c>
      <c r="D73" s="5">
        <f>IF(61&lt;=B$7*12,IFERROR(PMT(B$6/12,B$7*12,-(B4-B5)),0)-E73,"")</f>
        <v/>
      </c>
      <c r="E73" s="5">
        <f>IF(61&lt;=B$7*12,C73*B$6/12,"")</f>
        <v/>
      </c>
      <c r="F73" s="5">
        <f>IF(61&lt;=B$7*12,MAX(C73-D73,0),"")</f>
        <v/>
      </c>
      <c r="G73" s="5">
        <f>IF(61&lt;=B$7*12,G72+E73,"")</f>
        <v/>
      </c>
    </row>
    <row r="74">
      <c r="A74" s="15">
        <f>IF(62&lt;=B$7*12,62,"")</f>
        <v/>
      </c>
      <c r="B74" s="15">
        <f>IF(62&lt;=B$7*12,TEXT(DATE(2031,5,1),"mmm yyyy"),"")</f>
        <v/>
      </c>
      <c r="C74" s="16">
        <f>IF(62&lt;=B$7*12,F73,"")</f>
        <v/>
      </c>
      <c r="D74" s="16">
        <f>IF(62&lt;=B$7*12,IFERROR(PMT(B$6/12,B$7*12,-(B4-B5)),0)-E74,"")</f>
        <v/>
      </c>
      <c r="E74" s="16">
        <f>IF(62&lt;=B$7*12,C74*B$6/12,"")</f>
        <v/>
      </c>
      <c r="F74" s="16">
        <f>IF(62&lt;=B$7*12,MAX(C74-D74,0),"")</f>
        <v/>
      </c>
      <c r="G74" s="16">
        <f>IF(62&lt;=B$7*12,G73+E74,"")</f>
        <v/>
      </c>
    </row>
    <row r="75">
      <c r="A75" s="14">
        <f>IF(63&lt;=B$7*12,63,"")</f>
        <v/>
      </c>
      <c r="B75" s="14">
        <f>IF(63&lt;=B$7*12,TEXT(DATE(2031,6,1),"mmm yyyy"),"")</f>
        <v/>
      </c>
      <c r="C75" s="5">
        <f>IF(63&lt;=B$7*12,F74,"")</f>
        <v/>
      </c>
      <c r="D75" s="5">
        <f>IF(63&lt;=B$7*12,IFERROR(PMT(B$6/12,B$7*12,-(B4-B5)),0)-E75,"")</f>
        <v/>
      </c>
      <c r="E75" s="5">
        <f>IF(63&lt;=B$7*12,C75*B$6/12,"")</f>
        <v/>
      </c>
      <c r="F75" s="5">
        <f>IF(63&lt;=B$7*12,MAX(C75-D75,0),"")</f>
        <v/>
      </c>
      <c r="G75" s="5">
        <f>IF(63&lt;=B$7*12,G74+E75,"")</f>
        <v/>
      </c>
    </row>
    <row r="76">
      <c r="A76" s="15">
        <f>IF(64&lt;=B$7*12,64,"")</f>
        <v/>
      </c>
      <c r="B76" s="15">
        <f>IF(64&lt;=B$7*12,TEXT(DATE(2031,7,1),"mmm yyyy"),"")</f>
        <v/>
      </c>
      <c r="C76" s="16">
        <f>IF(64&lt;=B$7*12,F75,"")</f>
        <v/>
      </c>
      <c r="D76" s="16">
        <f>IF(64&lt;=B$7*12,IFERROR(PMT(B$6/12,B$7*12,-(B4-B5)),0)-E76,"")</f>
        <v/>
      </c>
      <c r="E76" s="16">
        <f>IF(64&lt;=B$7*12,C76*B$6/12,"")</f>
        <v/>
      </c>
      <c r="F76" s="16">
        <f>IF(64&lt;=B$7*12,MAX(C76-D76,0),"")</f>
        <v/>
      </c>
      <c r="G76" s="16">
        <f>IF(64&lt;=B$7*12,G75+E76,"")</f>
        <v/>
      </c>
    </row>
    <row r="77">
      <c r="A77" s="14">
        <f>IF(65&lt;=B$7*12,65,"")</f>
        <v/>
      </c>
      <c r="B77" s="14">
        <f>IF(65&lt;=B$7*12,TEXT(DATE(2031,8,1),"mmm yyyy"),"")</f>
        <v/>
      </c>
      <c r="C77" s="5">
        <f>IF(65&lt;=B$7*12,F76,"")</f>
        <v/>
      </c>
      <c r="D77" s="5">
        <f>IF(65&lt;=B$7*12,IFERROR(PMT(B$6/12,B$7*12,-(B4-B5)),0)-E77,"")</f>
        <v/>
      </c>
      <c r="E77" s="5">
        <f>IF(65&lt;=B$7*12,C77*B$6/12,"")</f>
        <v/>
      </c>
      <c r="F77" s="5">
        <f>IF(65&lt;=B$7*12,MAX(C77-D77,0),"")</f>
        <v/>
      </c>
      <c r="G77" s="5">
        <f>IF(65&lt;=B$7*12,G76+E77,"")</f>
        <v/>
      </c>
    </row>
    <row r="78">
      <c r="A78" s="15">
        <f>IF(66&lt;=B$7*12,66,"")</f>
        <v/>
      </c>
      <c r="B78" s="15">
        <f>IF(66&lt;=B$7*12,TEXT(DATE(2031,9,1),"mmm yyyy"),"")</f>
        <v/>
      </c>
      <c r="C78" s="16">
        <f>IF(66&lt;=B$7*12,F77,"")</f>
        <v/>
      </c>
      <c r="D78" s="16">
        <f>IF(66&lt;=B$7*12,IFERROR(PMT(B$6/12,B$7*12,-(B4-B5)),0)-E78,"")</f>
        <v/>
      </c>
      <c r="E78" s="16">
        <f>IF(66&lt;=B$7*12,C78*B$6/12,"")</f>
        <v/>
      </c>
      <c r="F78" s="16">
        <f>IF(66&lt;=B$7*12,MAX(C78-D78,0),"")</f>
        <v/>
      </c>
      <c r="G78" s="16">
        <f>IF(66&lt;=B$7*12,G77+E78,"")</f>
        <v/>
      </c>
    </row>
    <row r="79">
      <c r="A79" s="14">
        <f>IF(67&lt;=B$7*12,67,"")</f>
        <v/>
      </c>
      <c r="B79" s="14">
        <f>IF(67&lt;=B$7*12,TEXT(DATE(2031,10,1),"mmm yyyy"),"")</f>
        <v/>
      </c>
      <c r="C79" s="5">
        <f>IF(67&lt;=B$7*12,F78,"")</f>
        <v/>
      </c>
      <c r="D79" s="5">
        <f>IF(67&lt;=B$7*12,IFERROR(PMT(B$6/12,B$7*12,-(B4-B5)),0)-E79,"")</f>
        <v/>
      </c>
      <c r="E79" s="5">
        <f>IF(67&lt;=B$7*12,C79*B$6/12,"")</f>
        <v/>
      </c>
      <c r="F79" s="5">
        <f>IF(67&lt;=B$7*12,MAX(C79-D79,0),"")</f>
        <v/>
      </c>
      <c r="G79" s="5">
        <f>IF(67&lt;=B$7*12,G78+E79,"")</f>
        <v/>
      </c>
    </row>
    <row r="80">
      <c r="A80" s="15">
        <f>IF(68&lt;=B$7*12,68,"")</f>
        <v/>
      </c>
      <c r="B80" s="15">
        <f>IF(68&lt;=B$7*12,TEXT(DATE(2031,11,1),"mmm yyyy"),"")</f>
        <v/>
      </c>
      <c r="C80" s="16">
        <f>IF(68&lt;=B$7*12,F79,"")</f>
        <v/>
      </c>
      <c r="D80" s="16">
        <f>IF(68&lt;=B$7*12,IFERROR(PMT(B$6/12,B$7*12,-(B4-B5)),0)-E80,"")</f>
        <v/>
      </c>
      <c r="E80" s="16">
        <f>IF(68&lt;=B$7*12,C80*B$6/12,"")</f>
        <v/>
      </c>
      <c r="F80" s="16">
        <f>IF(68&lt;=B$7*12,MAX(C80-D80,0),"")</f>
        <v/>
      </c>
      <c r="G80" s="16">
        <f>IF(68&lt;=B$7*12,G79+E80,"")</f>
        <v/>
      </c>
    </row>
    <row r="81">
      <c r="A81" s="14">
        <f>IF(69&lt;=B$7*12,69,"")</f>
        <v/>
      </c>
      <c r="B81" s="14">
        <f>IF(69&lt;=B$7*12,TEXT(DATE(2031,12,1),"mmm yyyy"),"")</f>
        <v/>
      </c>
      <c r="C81" s="5">
        <f>IF(69&lt;=B$7*12,F80,"")</f>
        <v/>
      </c>
      <c r="D81" s="5">
        <f>IF(69&lt;=B$7*12,IFERROR(PMT(B$6/12,B$7*12,-(B4-B5)),0)-E81,"")</f>
        <v/>
      </c>
      <c r="E81" s="5">
        <f>IF(69&lt;=B$7*12,C81*B$6/12,"")</f>
        <v/>
      </c>
      <c r="F81" s="5">
        <f>IF(69&lt;=B$7*12,MAX(C81-D81,0),"")</f>
        <v/>
      </c>
      <c r="G81" s="5">
        <f>IF(69&lt;=B$7*12,G80+E81,"")</f>
        <v/>
      </c>
    </row>
    <row r="82">
      <c r="A82" s="15">
        <f>IF(70&lt;=B$7*12,70,"")</f>
        <v/>
      </c>
      <c r="B82" s="15">
        <f>IF(70&lt;=B$7*12,TEXT(DATE(2032,1,1),"mmm yyyy"),"")</f>
        <v/>
      </c>
      <c r="C82" s="16">
        <f>IF(70&lt;=B$7*12,F81,"")</f>
        <v/>
      </c>
      <c r="D82" s="16">
        <f>IF(70&lt;=B$7*12,IFERROR(PMT(B$6/12,B$7*12,-(B4-B5)),0)-E82,"")</f>
        <v/>
      </c>
      <c r="E82" s="16">
        <f>IF(70&lt;=B$7*12,C82*B$6/12,"")</f>
        <v/>
      </c>
      <c r="F82" s="16">
        <f>IF(70&lt;=B$7*12,MAX(C82-D82,0),"")</f>
        <v/>
      </c>
      <c r="G82" s="16">
        <f>IF(70&lt;=B$7*12,G81+E82,"")</f>
        <v/>
      </c>
    </row>
    <row r="83">
      <c r="A83" s="14">
        <f>IF(71&lt;=B$7*12,71,"")</f>
        <v/>
      </c>
      <c r="B83" s="14">
        <f>IF(71&lt;=B$7*12,TEXT(DATE(2032,2,1),"mmm yyyy"),"")</f>
        <v/>
      </c>
      <c r="C83" s="5">
        <f>IF(71&lt;=B$7*12,F82,"")</f>
        <v/>
      </c>
      <c r="D83" s="5">
        <f>IF(71&lt;=B$7*12,IFERROR(PMT(B$6/12,B$7*12,-(B4-B5)),0)-E83,"")</f>
        <v/>
      </c>
      <c r="E83" s="5">
        <f>IF(71&lt;=B$7*12,C83*B$6/12,"")</f>
        <v/>
      </c>
      <c r="F83" s="5">
        <f>IF(71&lt;=B$7*12,MAX(C83-D83,0),"")</f>
        <v/>
      </c>
      <c r="G83" s="5">
        <f>IF(71&lt;=B$7*12,G82+E83,"")</f>
        <v/>
      </c>
    </row>
    <row r="84">
      <c r="A84" s="15">
        <f>IF(72&lt;=B$7*12,72,"")</f>
        <v/>
      </c>
      <c r="B84" s="15">
        <f>IF(72&lt;=B$7*12,TEXT(DATE(2032,3,1),"mmm yyyy"),"")</f>
        <v/>
      </c>
      <c r="C84" s="16">
        <f>IF(72&lt;=B$7*12,F83,"")</f>
        <v/>
      </c>
      <c r="D84" s="16">
        <f>IF(72&lt;=B$7*12,IFERROR(PMT(B$6/12,B$7*12,-(B4-B5)),0)-E84,"")</f>
        <v/>
      </c>
      <c r="E84" s="16">
        <f>IF(72&lt;=B$7*12,C84*B$6/12,"")</f>
        <v/>
      </c>
      <c r="F84" s="16">
        <f>IF(72&lt;=B$7*12,MAX(C84-D84,0),"")</f>
        <v/>
      </c>
      <c r="G84" s="16">
        <f>IF(72&lt;=B$7*12,G83+E84,"")</f>
        <v/>
      </c>
    </row>
    <row r="85">
      <c r="A85" s="14">
        <f>IF(73&lt;=B$7*12,73,"")</f>
        <v/>
      </c>
      <c r="B85" s="14">
        <f>IF(73&lt;=B$7*12,TEXT(DATE(2032,4,1),"mmm yyyy"),"")</f>
        <v/>
      </c>
      <c r="C85" s="5">
        <f>IF(73&lt;=B$7*12,F84,"")</f>
        <v/>
      </c>
      <c r="D85" s="5">
        <f>IF(73&lt;=B$7*12,IFERROR(PMT(B$6/12,B$7*12,-(B4-B5)),0)-E85,"")</f>
        <v/>
      </c>
      <c r="E85" s="5">
        <f>IF(73&lt;=B$7*12,C85*B$6/12,"")</f>
        <v/>
      </c>
      <c r="F85" s="5">
        <f>IF(73&lt;=B$7*12,MAX(C85-D85,0),"")</f>
        <v/>
      </c>
      <c r="G85" s="5">
        <f>IF(73&lt;=B$7*12,G84+E85,"")</f>
        <v/>
      </c>
    </row>
    <row r="86">
      <c r="A86" s="15">
        <f>IF(74&lt;=B$7*12,74,"")</f>
        <v/>
      </c>
      <c r="B86" s="15">
        <f>IF(74&lt;=B$7*12,TEXT(DATE(2032,5,1),"mmm yyyy"),"")</f>
        <v/>
      </c>
      <c r="C86" s="16">
        <f>IF(74&lt;=B$7*12,F85,"")</f>
        <v/>
      </c>
      <c r="D86" s="16">
        <f>IF(74&lt;=B$7*12,IFERROR(PMT(B$6/12,B$7*12,-(B4-B5)),0)-E86,"")</f>
        <v/>
      </c>
      <c r="E86" s="16">
        <f>IF(74&lt;=B$7*12,C86*B$6/12,"")</f>
        <v/>
      </c>
      <c r="F86" s="16">
        <f>IF(74&lt;=B$7*12,MAX(C86-D86,0),"")</f>
        <v/>
      </c>
      <c r="G86" s="16">
        <f>IF(74&lt;=B$7*12,G85+E86,"")</f>
        <v/>
      </c>
    </row>
    <row r="87">
      <c r="A87" s="14">
        <f>IF(75&lt;=B$7*12,75,"")</f>
        <v/>
      </c>
      <c r="B87" s="14">
        <f>IF(75&lt;=B$7*12,TEXT(DATE(2032,6,1),"mmm yyyy"),"")</f>
        <v/>
      </c>
      <c r="C87" s="5">
        <f>IF(75&lt;=B$7*12,F86,"")</f>
        <v/>
      </c>
      <c r="D87" s="5">
        <f>IF(75&lt;=B$7*12,IFERROR(PMT(B$6/12,B$7*12,-(B4-B5)),0)-E87,"")</f>
        <v/>
      </c>
      <c r="E87" s="5">
        <f>IF(75&lt;=B$7*12,C87*B$6/12,"")</f>
        <v/>
      </c>
      <c r="F87" s="5">
        <f>IF(75&lt;=B$7*12,MAX(C87-D87,0),"")</f>
        <v/>
      </c>
      <c r="G87" s="5">
        <f>IF(75&lt;=B$7*12,G86+E87,"")</f>
        <v/>
      </c>
    </row>
    <row r="88">
      <c r="A88" s="15">
        <f>IF(76&lt;=B$7*12,76,"")</f>
        <v/>
      </c>
      <c r="B88" s="15">
        <f>IF(76&lt;=B$7*12,TEXT(DATE(2032,7,1),"mmm yyyy"),"")</f>
        <v/>
      </c>
      <c r="C88" s="16">
        <f>IF(76&lt;=B$7*12,F87,"")</f>
        <v/>
      </c>
      <c r="D88" s="16">
        <f>IF(76&lt;=B$7*12,IFERROR(PMT(B$6/12,B$7*12,-(B4-B5)),0)-E88,"")</f>
        <v/>
      </c>
      <c r="E88" s="16">
        <f>IF(76&lt;=B$7*12,C88*B$6/12,"")</f>
        <v/>
      </c>
      <c r="F88" s="16">
        <f>IF(76&lt;=B$7*12,MAX(C88-D88,0),"")</f>
        <v/>
      </c>
      <c r="G88" s="16">
        <f>IF(76&lt;=B$7*12,G87+E88,"")</f>
        <v/>
      </c>
    </row>
    <row r="89">
      <c r="A89" s="14">
        <f>IF(77&lt;=B$7*12,77,"")</f>
        <v/>
      </c>
      <c r="B89" s="14">
        <f>IF(77&lt;=B$7*12,TEXT(DATE(2032,8,1),"mmm yyyy"),"")</f>
        <v/>
      </c>
      <c r="C89" s="5">
        <f>IF(77&lt;=B$7*12,F88,"")</f>
        <v/>
      </c>
      <c r="D89" s="5">
        <f>IF(77&lt;=B$7*12,IFERROR(PMT(B$6/12,B$7*12,-(B4-B5)),0)-E89,"")</f>
        <v/>
      </c>
      <c r="E89" s="5">
        <f>IF(77&lt;=B$7*12,C89*B$6/12,"")</f>
        <v/>
      </c>
      <c r="F89" s="5">
        <f>IF(77&lt;=B$7*12,MAX(C89-D89,0),"")</f>
        <v/>
      </c>
      <c r="G89" s="5">
        <f>IF(77&lt;=B$7*12,G88+E89,"")</f>
        <v/>
      </c>
    </row>
    <row r="90">
      <c r="A90" s="15">
        <f>IF(78&lt;=B$7*12,78,"")</f>
        <v/>
      </c>
      <c r="B90" s="15">
        <f>IF(78&lt;=B$7*12,TEXT(DATE(2032,9,1),"mmm yyyy"),"")</f>
        <v/>
      </c>
      <c r="C90" s="16">
        <f>IF(78&lt;=B$7*12,F89,"")</f>
        <v/>
      </c>
      <c r="D90" s="16">
        <f>IF(78&lt;=B$7*12,IFERROR(PMT(B$6/12,B$7*12,-(B4-B5)),0)-E90,"")</f>
        <v/>
      </c>
      <c r="E90" s="16">
        <f>IF(78&lt;=B$7*12,C90*B$6/12,"")</f>
        <v/>
      </c>
      <c r="F90" s="16">
        <f>IF(78&lt;=B$7*12,MAX(C90-D90,0),"")</f>
        <v/>
      </c>
      <c r="G90" s="16">
        <f>IF(78&lt;=B$7*12,G89+E90,"")</f>
        <v/>
      </c>
    </row>
    <row r="91">
      <c r="A91" s="14">
        <f>IF(79&lt;=B$7*12,79,"")</f>
        <v/>
      </c>
      <c r="B91" s="14">
        <f>IF(79&lt;=B$7*12,TEXT(DATE(2032,10,1),"mmm yyyy"),"")</f>
        <v/>
      </c>
      <c r="C91" s="5">
        <f>IF(79&lt;=B$7*12,F90,"")</f>
        <v/>
      </c>
      <c r="D91" s="5">
        <f>IF(79&lt;=B$7*12,IFERROR(PMT(B$6/12,B$7*12,-(B4-B5)),0)-E91,"")</f>
        <v/>
      </c>
      <c r="E91" s="5">
        <f>IF(79&lt;=B$7*12,C91*B$6/12,"")</f>
        <v/>
      </c>
      <c r="F91" s="5">
        <f>IF(79&lt;=B$7*12,MAX(C91-D91,0),"")</f>
        <v/>
      </c>
      <c r="G91" s="5">
        <f>IF(79&lt;=B$7*12,G90+E91,"")</f>
        <v/>
      </c>
    </row>
    <row r="92">
      <c r="A92" s="15">
        <f>IF(80&lt;=B$7*12,80,"")</f>
        <v/>
      </c>
      <c r="B92" s="15">
        <f>IF(80&lt;=B$7*12,TEXT(DATE(2032,11,1),"mmm yyyy"),"")</f>
        <v/>
      </c>
      <c r="C92" s="16">
        <f>IF(80&lt;=B$7*12,F91,"")</f>
        <v/>
      </c>
      <c r="D92" s="16">
        <f>IF(80&lt;=B$7*12,IFERROR(PMT(B$6/12,B$7*12,-(B4-B5)),0)-E92,"")</f>
        <v/>
      </c>
      <c r="E92" s="16">
        <f>IF(80&lt;=B$7*12,C92*B$6/12,"")</f>
        <v/>
      </c>
      <c r="F92" s="16">
        <f>IF(80&lt;=B$7*12,MAX(C92-D92,0),"")</f>
        <v/>
      </c>
      <c r="G92" s="16">
        <f>IF(80&lt;=B$7*12,G91+E92,"")</f>
        <v/>
      </c>
    </row>
    <row r="93">
      <c r="A93" s="14">
        <f>IF(81&lt;=B$7*12,81,"")</f>
        <v/>
      </c>
      <c r="B93" s="14">
        <f>IF(81&lt;=B$7*12,TEXT(DATE(2032,12,1),"mmm yyyy"),"")</f>
        <v/>
      </c>
      <c r="C93" s="5">
        <f>IF(81&lt;=B$7*12,F92,"")</f>
        <v/>
      </c>
      <c r="D93" s="5">
        <f>IF(81&lt;=B$7*12,IFERROR(PMT(B$6/12,B$7*12,-(B4-B5)),0)-E93,"")</f>
        <v/>
      </c>
      <c r="E93" s="5">
        <f>IF(81&lt;=B$7*12,C93*B$6/12,"")</f>
        <v/>
      </c>
      <c r="F93" s="5">
        <f>IF(81&lt;=B$7*12,MAX(C93-D93,0),"")</f>
        <v/>
      </c>
      <c r="G93" s="5">
        <f>IF(81&lt;=B$7*12,G92+E93,"")</f>
        <v/>
      </c>
    </row>
    <row r="94">
      <c r="A94" s="15">
        <f>IF(82&lt;=B$7*12,82,"")</f>
        <v/>
      </c>
      <c r="B94" s="15">
        <f>IF(82&lt;=B$7*12,TEXT(DATE(2033,1,1),"mmm yyyy"),"")</f>
        <v/>
      </c>
      <c r="C94" s="16">
        <f>IF(82&lt;=B$7*12,F93,"")</f>
        <v/>
      </c>
      <c r="D94" s="16">
        <f>IF(82&lt;=B$7*12,IFERROR(PMT(B$6/12,B$7*12,-(B4-B5)),0)-E94,"")</f>
        <v/>
      </c>
      <c r="E94" s="16">
        <f>IF(82&lt;=B$7*12,C94*B$6/12,"")</f>
        <v/>
      </c>
      <c r="F94" s="16">
        <f>IF(82&lt;=B$7*12,MAX(C94-D94,0),"")</f>
        <v/>
      </c>
      <c r="G94" s="16">
        <f>IF(82&lt;=B$7*12,G93+E94,"")</f>
        <v/>
      </c>
    </row>
    <row r="95">
      <c r="A95" s="14">
        <f>IF(83&lt;=B$7*12,83,"")</f>
        <v/>
      </c>
      <c r="B95" s="14">
        <f>IF(83&lt;=B$7*12,TEXT(DATE(2033,2,1),"mmm yyyy"),"")</f>
        <v/>
      </c>
      <c r="C95" s="5">
        <f>IF(83&lt;=B$7*12,F94,"")</f>
        <v/>
      </c>
      <c r="D95" s="5">
        <f>IF(83&lt;=B$7*12,IFERROR(PMT(B$6/12,B$7*12,-(B4-B5)),0)-E95,"")</f>
        <v/>
      </c>
      <c r="E95" s="5">
        <f>IF(83&lt;=B$7*12,C95*B$6/12,"")</f>
        <v/>
      </c>
      <c r="F95" s="5">
        <f>IF(83&lt;=B$7*12,MAX(C95-D95,0),"")</f>
        <v/>
      </c>
      <c r="G95" s="5">
        <f>IF(83&lt;=B$7*12,G94+E95,"")</f>
        <v/>
      </c>
    </row>
    <row r="96">
      <c r="A96" s="15">
        <f>IF(84&lt;=B$7*12,84,"")</f>
        <v/>
      </c>
      <c r="B96" s="15">
        <f>IF(84&lt;=B$7*12,TEXT(DATE(2033,3,1),"mmm yyyy"),"")</f>
        <v/>
      </c>
      <c r="C96" s="16">
        <f>IF(84&lt;=B$7*12,F95,"")</f>
        <v/>
      </c>
      <c r="D96" s="16">
        <f>IF(84&lt;=B$7*12,IFERROR(PMT(B$6/12,B$7*12,-(B4-B5)),0)-E96,"")</f>
        <v/>
      </c>
      <c r="E96" s="16">
        <f>IF(84&lt;=B$7*12,C96*B$6/12,"")</f>
        <v/>
      </c>
      <c r="F96" s="16">
        <f>IF(84&lt;=B$7*12,MAX(C96-D96,0),"")</f>
        <v/>
      </c>
      <c r="G96" s="16">
        <f>IF(84&lt;=B$7*12,G95+E96,"")</f>
        <v/>
      </c>
    </row>
    <row r="97">
      <c r="A97" s="14">
        <f>IF(85&lt;=B$7*12,85,"")</f>
        <v/>
      </c>
      <c r="B97" s="14">
        <f>IF(85&lt;=B$7*12,TEXT(DATE(2033,4,1),"mmm yyyy"),"")</f>
        <v/>
      </c>
      <c r="C97" s="5">
        <f>IF(85&lt;=B$7*12,F96,"")</f>
        <v/>
      </c>
      <c r="D97" s="5">
        <f>IF(85&lt;=B$7*12,IFERROR(PMT(B$6/12,B$7*12,-(B4-B5)),0)-E97,"")</f>
        <v/>
      </c>
      <c r="E97" s="5">
        <f>IF(85&lt;=B$7*12,C97*B$6/12,"")</f>
        <v/>
      </c>
      <c r="F97" s="5">
        <f>IF(85&lt;=B$7*12,MAX(C97-D97,0),"")</f>
        <v/>
      </c>
      <c r="G97" s="5">
        <f>IF(85&lt;=B$7*12,G96+E97,"")</f>
        <v/>
      </c>
    </row>
    <row r="98">
      <c r="A98" s="15">
        <f>IF(86&lt;=B$7*12,86,"")</f>
        <v/>
      </c>
      <c r="B98" s="15">
        <f>IF(86&lt;=B$7*12,TEXT(DATE(2033,5,1),"mmm yyyy"),"")</f>
        <v/>
      </c>
      <c r="C98" s="16">
        <f>IF(86&lt;=B$7*12,F97,"")</f>
        <v/>
      </c>
      <c r="D98" s="16">
        <f>IF(86&lt;=B$7*12,IFERROR(PMT(B$6/12,B$7*12,-(B4-B5)),0)-E98,"")</f>
        <v/>
      </c>
      <c r="E98" s="16">
        <f>IF(86&lt;=B$7*12,C98*B$6/12,"")</f>
        <v/>
      </c>
      <c r="F98" s="16">
        <f>IF(86&lt;=B$7*12,MAX(C98-D98,0),"")</f>
        <v/>
      </c>
      <c r="G98" s="16">
        <f>IF(86&lt;=B$7*12,G97+E98,"")</f>
        <v/>
      </c>
    </row>
    <row r="99">
      <c r="A99" s="14">
        <f>IF(87&lt;=B$7*12,87,"")</f>
        <v/>
      </c>
      <c r="B99" s="14">
        <f>IF(87&lt;=B$7*12,TEXT(DATE(2033,6,1),"mmm yyyy"),"")</f>
        <v/>
      </c>
      <c r="C99" s="5">
        <f>IF(87&lt;=B$7*12,F98,"")</f>
        <v/>
      </c>
      <c r="D99" s="5">
        <f>IF(87&lt;=B$7*12,IFERROR(PMT(B$6/12,B$7*12,-(B4-B5)),0)-E99,"")</f>
        <v/>
      </c>
      <c r="E99" s="5">
        <f>IF(87&lt;=B$7*12,C99*B$6/12,"")</f>
        <v/>
      </c>
      <c r="F99" s="5">
        <f>IF(87&lt;=B$7*12,MAX(C99-D99,0),"")</f>
        <v/>
      </c>
      <c r="G99" s="5">
        <f>IF(87&lt;=B$7*12,G98+E99,"")</f>
        <v/>
      </c>
    </row>
    <row r="100">
      <c r="A100" s="15">
        <f>IF(88&lt;=B$7*12,88,"")</f>
        <v/>
      </c>
      <c r="B100" s="15">
        <f>IF(88&lt;=B$7*12,TEXT(DATE(2033,7,1),"mmm yyyy"),"")</f>
        <v/>
      </c>
      <c r="C100" s="16">
        <f>IF(88&lt;=B$7*12,F99,"")</f>
        <v/>
      </c>
      <c r="D100" s="16">
        <f>IF(88&lt;=B$7*12,IFERROR(PMT(B$6/12,B$7*12,-(B4-B5)),0)-E100,"")</f>
        <v/>
      </c>
      <c r="E100" s="16">
        <f>IF(88&lt;=B$7*12,C100*B$6/12,"")</f>
        <v/>
      </c>
      <c r="F100" s="16">
        <f>IF(88&lt;=B$7*12,MAX(C100-D100,0),"")</f>
        <v/>
      </c>
      <c r="G100" s="16">
        <f>IF(88&lt;=B$7*12,G99+E100,"")</f>
        <v/>
      </c>
    </row>
    <row r="101">
      <c r="A101" s="14">
        <f>IF(89&lt;=B$7*12,89,"")</f>
        <v/>
      </c>
      <c r="B101" s="14">
        <f>IF(89&lt;=B$7*12,TEXT(DATE(2033,8,1),"mmm yyyy"),"")</f>
        <v/>
      </c>
      <c r="C101" s="5">
        <f>IF(89&lt;=B$7*12,F100,"")</f>
        <v/>
      </c>
      <c r="D101" s="5">
        <f>IF(89&lt;=B$7*12,IFERROR(PMT(B$6/12,B$7*12,-(B4-B5)),0)-E101,"")</f>
        <v/>
      </c>
      <c r="E101" s="5">
        <f>IF(89&lt;=B$7*12,C101*B$6/12,"")</f>
        <v/>
      </c>
      <c r="F101" s="5">
        <f>IF(89&lt;=B$7*12,MAX(C101-D101,0),"")</f>
        <v/>
      </c>
      <c r="G101" s="5">
        <f>IF(89&lt;=B$7*12,G100+E101,"")</f>
        <v/>
      </c>
    </row>
    <row r="102">
      <c r="A102" s="15">
        <f>IF(90&lt;=B$7*12,90,"")</f>
        <v/>
      </c>
      <c r="B102" s="15">
        <f>IF(90&lt;=B$7*12,TEXT(DATE(2033,9,1),"mmm yyyy"),"")</f>
        <v/>
      </c>
      <c r="C102" s="16">
        <f>IF(90&lt;=B$7*12,F101,"")</f>
        <v/>
      </c>
      <c r="D102" s="16">
        <f>IF(90&lt;=B$7*12,IFERROR(PMT(B$6/12,B$7*12,-(B4-B5)),0)-E102,"")</f>
        <v/>
      </c>
      <c r="E102" s="16">
        <f>IF(90&lt;=B$7*12,C102*B$6/12,"")</f>
        <v/>
      </c>
      <c r="F102" s="16">
        <f>IF(90&lt;=B$7*12,MAX(C102-D102,0),"")</f>
        <v/>
      </c>
      <c r="G102" s="16">
        <f>IF(90&lt;=B$7*12,G101+E102,"")</f>
        <v/>
      </c>
    </row>
    <row r="103">
      <c r="A103" s="14">
        <f>IF(91&lt;=B$7*12,91,"")</f>
        <v/>
      </c>
      <c r="B103" s="14">
        <f>IF(91&lt;=B$7*12,TEXT(DATE(2033,10,1),"mmm yyyy"),"")</f>
        <v/>
      </c>
      <c r="C103" s="5">
        <f>IF(91&lt;=B$7*12,F102,"")</f>
        <v/>
      </c>
      <c r="D103" s="5">
        <f>IF(91&lt;=B$7*12,IFERROR(PMT(B$6/12,B$7*12,-(B4-B5)),0)-E103,"")</f>
        <v/>
      </c>
      <c r="E103" s="5">
        <f>IF(91&lt;=B$7*12,C103*B$6/12,"")</f>
        <v/>
      </c>
      <c r="F103" s="5">
        <f>IF(91&lt;=B$7*12,MAX(C103-D103,0),"")</f>
        <v/>
      </c>
      <c r="G103" s="5">
        <f>IF(91&lt;=B$7*12,G102+E103,"")</f>
        <v/>
      </c>
    </row>
    <row r="104">
      <c r="A104" s="15">
        <f>IF(92&lt;=B$7*12,92,"")</f>
        <v/>
      </c>
      <c r="B104" s="15">
        <f>IF(92&lt;=B$7*12,TEXT(DATE(2033,11,1),"mmm yyyy"),"")</f>
        <v/>
      </c>
      <c r="C104" s="16">
        <f>IF(92&lt;=B$7*12,F103,"")</f>
        <v/>
      </c>
      <c r="D104" s="16">
        <f>IF(92&lt;=B$7*12,IFERROR(PMT(B$6/12,B$7*12,-(B4-B5)),0)-E104,"")</f>
        <v/>
      </c>
      <c r="E104" s="16">
        <f>IF(92&lt;=B$7*12,C104*B$6/12,"")</f>
        <v/>
      </c>
      <c r="F104" s="16">
        <f>IF(92&lt;=B$7*12,MAX(C104-D104,0),"")</f>
        <v/>
      </c>
      <c r="G104" s="16">
        <f>IF(92&lt;=B$7*12,G103+E104,"")</f>
        <v/>
      </c>
    </row>
    <row r="105">
      <c r="A105" s="14">
        <f>IF(93&lt;=B$7*12,93,"")</f>
        <v/>
      </c>
      <c r="B105" s="14">
        <f>IF(93&lt;=B$7*12,TEXT(DATE(2033,12,1),"mmm yyyy"),"")</f>
        <v/>
      </c>
      <c r="C105" s="5">
        <f>IF(93&lt;=B$7*12,F104,"")</f>
        <v/>
      </c>
      <c r="D105" s="5">
        <f>IF(93&lt;=B$7*12,IFERROR(PMT(B$6/12,B$7*12,-(B4-B5)),0)-E105,"")</f>
        <v/>
      </c>
      <c r="E105" s="5">
        <f>IF(93&lt;=B$7*12,C105*B$6/12,"")</f>
        <v/>
      </c>
      <c r="F105" s="5">
        <f>IF(93&lt;=B$7*12,MAX(C105-D105,0),"")</f>
        <v/>
      </c>
      <c r="G105" s="5">
        <f>IF(93&lt;=B$7*12,G104+E105,"")</f>
        <v/>
      </c>
    </row>
    <row r="106">
      <c r="A106" s="15">
        <f>IF(94&lt;=B$7*12,94,"")</f>
        <v/>
      </c>
      <c r="B106" s="15">
        <f>IF(94&lt;=B$7*12,TEXT(DATE(2034,1,1),"mmm yyyy"),"")</f>
        <v/>
      </c>
      <c r="C106" s="16">
        <f>IF(94&lt;=B$7*12,F105,"")</f>
        <v/>
      </c>
      <c r="D106" s="16">
        <f>IF(94&lt;=B$7*12,IFERROR(PMT(B$6/12,B$7*12,-(B4-B5)),0)-E106,"")</f>
        <v/>
      </c>
      <c r="E106" s="16">
        <f>IF(94&lt;=B$7*12,C106*B$6/12,"")</f>
        <v/>
      </c>
      <c r="F106" s="16">
        <f>IF(94&lt;=B$7*12,MAX(C106-D106,0),"")</f>
        <v/>
      </c>
      <c r="G106" s="16">
        <f>IF(94&lt;=B$7*12,G105+E106,"")</f>
        <v/>
      </c>
    </row>
    <row r="107">
      <c r="A107" s="14">
        <f>IF(95&lt;=B$7*12,95,"")</f>
        <v/>
      </c>
      <c r="B107" s="14">
        <f>IF(95&lt;=B$7*12,TEXT(DATE(2034,2,1),"mmm yyyy"),"")</f>
        <v/>
      </c>
      <c r="C107" s="5">
        <f>IF(95&lt;=B$7*12,F106,"")</f>
        <v/>
      </c>
      <c r="D107" s="5">
        <f>IF(95&lt;=B$7*12,IFERROR(PMT(B$6/12,B$7*12,-(B4-B5)),0)-E107,"")</f>
        <v/>
      </c>
      <c r="E107" s="5">
        <f>IF(95&lt;=B$7*12,C107*B$6/12,"")</f>
        <v/>
      </c>
      <c r="F107" s="5">
        <f>IF(95&lt;=B$7*12,MAX(C107-D107,0),"")</f>
        <v/>
      </c>
      <c r="G107" s="5">
        <f>IF(95&lt;=B$7*12,G106+E107,"")</f>
        <v/>
      </c>
    </row>
    <row r="108">
      <c r="A108" s="15">
        <f>IF(96&lt;=B$7*12,96,"")</f>
        <v/>
      </c>
      <c r="B108" s="15">
        <f>IF(96&lt;=B$7*12,TEXT(DATE(2034,3,1),"mmm yyyy"),"")</f>
        <v/>
      </c>
      <c r="C108" s="16">
        <f>IF(96&lt;=B$7*12,F107,"")</f>
        <v/>
      </c>
      <c r="D108" s="16">
        <f>IF(96&lt;=B$7*12,IFERROR(PMT(B$6/12,B$7*12,-(B4-B5)),0)-E108,"")</f>
        <v/>
      </c>
      <c r="E108" s="16">
        <f>IF(96&lt;=B$7*12,C108*B$6/12,"")</f>
        <v/>
      </c>
      <c r="F108" s="16">
        <f>IF(96&lt;=B$7*12,MAX(C108-D108,0),"")</f>
        <v/>
      </c>
      <c r="G108" s="16">
        <f>IF(96&lt;=B$7*12,G107+E108,"")</f>
        <v/>
      </c>
    </row>
    <row r="109">
      <c r="A109" s="14">
        <f>IF(97&lt;=B$7*12,97,"")</f>
        <v/>
      </c>
      <c r="B109" s="14">
        <f>IF(97&lt;=B$7*12,TEXT(DATE(2034,4,1),"mmm yyyy"),"")</f>
        <v/>
      </c>
      <c r="C109" s="5">
        <f>IF(97&lt;=B$7*12,F108,"")</f>
        <v/>
      </c>
      <c r="D109" s="5">
        <f>IF(97&lt;=B$7*12,IFERROR(PMT(B$6/12,B$7*12,-(B4-B5)),0)-E109,"")</f>
        <v/>
      </c>
      <c r="E109" s="5">
        <f>IF(97&lt;=B$7*12,C109*B$6/12,"")</f>
        <v/>
      </c>
      <c r="F109" s="5">
        <f>IF(97&lt;=B$7*12,MAX(C109-D109,0),"")</f>
        <v/>
      </c>
      <c r="G109" s="5">
        <f>IF(97&lt;=B$7*12,G108+E109,"")</f>
        <v/>
      </c>
    </row>
    <row r="110">
      <c r="A110" s="15">
        <f>IF(98&lt;=B$7*12,98,"")</f>
        <v/>
      </c>
      <c r="B110" s="15">
        <f>IF(98&lt;=B$7*12,TEXT(DATE(2034,5,1),"mmm yyyy"),"")</f>
        <v/>
      </c>
      <c r="C110" s="16">
        <f>IF(98&lt;=B$7*12,F109,"")</f>
        <v/>
      </c>
      <c r="D110" s="16">
        <f>IF(98&lt;=B$7*12,IFERROR(PMT(B$6/12,B$7*12,-(B4-B5)),0)-E110,"")</f>
        <v/>
      </c>
      <c r="E110" s="16">
        <f>IF(98&lt;=B$7*12,C110*B$6/12,"")</f>
        <v/>
      </c>
      <c r="F110" s="16">
        <f>IF(98&lt;=B$7*12,MAX(C110-D110,0),"")</f>
        <v/>
      </c>
      <c r="G110" s="16">
        <f>IF(98&lt;=B$7*12,G109+E110,"")</f>
        <v/>
      </c>
    </row>
    <row r="111">
      <c r="A111" s="14">
        <f>IF(99&lt;=B$7*12,99,"")</f>
        <v/>
      </c>
      <c r="B111" s="14">
        <f>IF(99&lt;=B$7*12,TEXT(DATE(2034,6,1),"mmm yyyy"),"")</f>
        <v/>
      </c>
      <c r="C111" s="5">
        <f>IF(99&lt;=B$7*12,F110,"")</f>
        <v/>
      </c>
      <c r="D111" s="5">
        <f>IF(99&lt;=B$7*12,IFERROR(PMT(B$6/12,B$7*12,-(B4-B5)),0)-E111,"")</f>
        <v/>
      </c>
      <c r="E111" s="5">
        <f>IF(99&lt;=B$7*12,C111*B$6/12,"")</f>
        <v/>
      </c>
      <c r="F111" s="5">
        <f>IF(99&lt;=B$7*12,MAX(C111-D111,0),"")</f>
        <v/>
      </c>
      <c r="G111" s="5">
        <f>IF(99&lt;=B$7*12,G110+E111,"")</f>
        <v/>
      </c>
    </row>
    <row r="112">
      <c r="A112" s="15">
        <f>IF(100&lt;=B$7*12,100,"")</f>
        <v/>
      </c>
      <c r="B112" s="15">
        <f>IF(100&lt;=B$7*12,TEXT(DATE(2034,7,1),"mmm yyyy"),"")</f>
        <v/>
      </c>
      <c r="C112" s="16">
        <f>IF(100&lt;=B$7*12,F111,"")</f>
        <v/>
      </c>
      <c r="D112" s="16">
        <f>IF(100&lt;=B$7*12,IFERROR(PMT(B$6/12,B$7*12,-(B4-B5)),0)-E112,"")</f>
        <v/>
      </c>
      <c r="E112" s="16">
        <f>IF(100&lt;=B$7*12,C112*B$6/12,"")</f>
        <v/>
      </c>
      <c r="F112" s="16">
        <f>IF(100&lt;=B$7*12,MAX(C112-D112,0),"")</f>
        <v/>
      </c>
      <c r="G112" s="16">
        <f>IF(100&lt;=B$7*12,G111+E112,"")</f>
        <v/>
      </c>
    </row>
    <row r="113">
      <c r="A113" s="14">
        <f>IF(101&lt;=B$7*12,101,"")</f>
        <v/>
      </c>
      <c r="B113" s="14">
        <f>IF(101&lt;=B$7*12,TEXT(DATE(2034,8,1),"mmm yyyy"),"")</f>
        <v/>
      </c>
      <c r="C113" s="5">
        <f>IF(101&lt;=B$7*12,F112,"")</f>
        <v/>
      </c>
      <c r="D113" s="5">
        <f>IF(101&lt;=B$7*12,IFERROR(PMT(B$6/12,B$7*12,-(B4-B5)),0)-E113,"")</f>
        <v/>
      </c>
      <c r="E113" s="5">
        <f>IF(101&lt;=B$7*12,C113*B$6/12,"")</f>
        <v/>
      </c>
      <c r="F113" s="5">
        <f>IF(101&lt;=B$7*12,MAX(C113-D113,0),"")</f>
        <v/>
      </c>
      <c r="G113" s="5">
        <f>IF(101&lt;=B$7*12,G112+E113,"")</f>
        <v/>
      </c>
    </row>
    <row r="114">
      <c r="A114" s="15">
        <f>IF(102&lt;=B$7*12,102,"")</f>
        <v/>
      </c>
      <c r="B114" s="15">
        <f>IF(102&lt;=B$7*12,TEXT(DATE(2034,9,1),"mmm yyyy"),"")</f>
        <v/>
      </c>
      <c r="C114" s="16">
        <f>IF(102&lt;=B$7*12,F113,"")</f>
        <v/>
      </c>
      <c r="D114" s="16">
        <f>IF(102&lt;=B$7*12,IFERROR(PMT(B$6/12,B$7*12,-(B4-B5)),0)-E114,"")</f>
        <v/>
      </c>
      <c r="E114" s="16">
        <f>IF(102&lt;=B$7*12,C114*B$6/12,"")</f>
        <v/>
      </c>
      <c r="F114" s="16">
        <f>IF(102&lt;=B$7*12,MAX(C114-D114,0),"")</f>
        <v/>
      </c>
      <c r="G114" s="16">
        <f>IF(102&lt;=B$7*12,G113+E114,"")</f>
        <v/>
      </c>
    </row>
    <row r="115">
      <c r="A115" s="14">
        <f>IF(103&lt;=B$7*12,103,"")</f>
        <v/>
      </c>
      <c r="B115" s="14">
        <f>IF(103&lt;=B$7*12,TEXT(DATE(2034,10,1),"mmm yyyy"),"")</f>
        <v/>
      </c>
      <c r="C115" s="5">
        <f>IF(103&lt;=B$7*12,F114,"")</f>
        <v/>
      </c>
      <c r="D115" s="5">
        <f>IF(103&lt;=B$7*12,IFERROR(PMT(B$6/12,B$7*12,-(B4-B5)),0)-E115,"")</f>
        <v/>
      </c>
      <c r="E115" s="5">
        <f>IF(103&lt;=B$7*12,C115*B$6/12,"")</f>
        <v/>
      </c>
      <c r="F115" s="5">
        <f>IF(103&lt;=B$7*12,MAX(C115-D115,0),"")</f>
        <v/>
      </c>
      <c r="G115" s="5">
        <f>IF(103&lt;=B$7*12,G114+E115,"")</f>
        <v/>
      </c>
    </row>
    <row r="116">
      <c r="A116" s="15">
        <f>IF(104&lt;=B$7*12,104,"")</f>
        <v/>
      </c>
      <c r="B116" s="15">
        <f>IF(104&lt;=B$7*12,TEXT(DATE(2034,11,1),"mmm yyyy"),"")</f>
        <v/>
      </c>
      <c r="C116" s="16">
        <f>IF(104&lt;=B$7*12,F115,"")</f>
        <v/>
      </c>
      <c r="D116" s="16">
        <f>IF(104&lt;=B$7*12,IFERROR(PMT(B$6/12,B$7*12,-(B4-B5)),0)-E116,"")</f>
        <v/>
      </c>
      <c r="E116" s="16">
        <f>IF(104&lt;=B$7*12,C116*B$6/12,"")</f>
        <v/>
      </c>
      <c r="F116" s="16">
        <f>IF(104&lt;=B$7*12,MAX(C116-D116,0),"")</f>
        <v/>
      </c>
      <c r="G116" s="16">
        <f>IF(104&lt;=B$7*12,G115+E116,"")</f>
        <v/>
      </c>
    </row>
    <row r="117">
      <c r="A117" s="14">
        <f>IF(105&lt;=B$7*12,105,"")</f>
        <v/>
      </c>
      <c r="B117" s="14">
        <f>IF(105&lt;=B$7*12,TEXT(DATE(2034,12,1),"mmm yyyy"),"")</f>
        <v/>
      </c>
      <c r="C117" s="5">
        <f>IF(105&lt;=B$7*12,F116,"")</f>
        <v/>
      </c>
      <c r="D117" s="5">
        <f>IF(105&lt;=B$7*12,IFERROR(PMT(B$6/12,B$7*12,-(B4-B5)),0)-E117,"")</f>
        <v/>
      </c>
      <c r="E117" s="5">
        <f>IF(105&lt;=B$7*12,C117*B$6/12,"")</f>
        <v/>
      </c>
      <c r="F117" s="5">
        <f>IF(105&lt;=B$7*12,MAX(C117-D117,0),"")</f>
        <v/>
      </c>
      <c r="G117" s="5">
        <f>IF(105&lt;=B$7*12,G116+E117,"")</f>
        <v/>
      </c>
    </row>
    <row r="118">
      <c r="A118" s="15">
        <f>IF(106&lt;=B$7*12,106,"")</f>
        <v/>
      </c>
      <c r="B118" s="15">
        <f>IF(106&lt;=B$7*12,TEXT(DATE(2035,1,1),"mmm yyyy"),"")</f>
        <v/>
      </c>
      <c r="C118" s="16">
        <f>IF(106&lt;=B$7*12,F117,"")</f>
        <v/>
      </c>
      <c r="D118" s="16">
        <f>IF(106&lt;=B$7*12,IFERROR(PMT(B$6/12,B$7*12,-(B4-B5)),0)-E118,"")</f>
        <v/>
      </c>
      <c r="E118" s="16">
        <f>IF(106&lt;=B$7*12,C118*B$6/12,"")</f>
        <v/>
      </c>
      <c r="F118" s="16">
        <f>IF(106&lt;=B$7*12,MAX(C118-D118,0),"")</f>
        <v/>
      </c>
      <c r="G118" s="16">
        <f>IF(106&lt;=B$7*12,G117+E118,"")</f>
        <v/>
      </c>
    </row>
    <row r="119">
      <c r="A119" s="14">
        <f>IF(107&lt;=B$7*12,107,"")</f>
        <v/>
      </c>
      <c r="B119" s="14">
        <f>IF(107&lt;=B$7*12,TEXT(DATE(2035,2,1),"mmm yyyy"),"")</f>
        <v/>
      </c>
      <c r="C119" s="5">
        <f>IF(107&lt;=B$7*12,F118,"")</f>
        <v/>
      </c>
      <c r="D119" s="5">
        <f>IF(107&lt;=B$7*12,IFERROR(PMT(B$6/12,B$7*12,-(B4-B5)),0)-E119,"")</f>
        <v/>
      </c>
      <c r="E119" s="5">
        <f>IF(107&lt;=B$7*12,C119*B$6/12,"")</f>
        <v/>
      </c>
      <c r="F119" s="5">
        <f>IF(107&lt;=B$7*12,MAX(C119-D119,0),"")</f>
        <v/>
      </c>
      <c r="G119" s="5">
        <f>IF(107&lt;=B$7*12,G118+E119,"")</f>
        <v/>
      </c>
    </row>
    <row r="120">
      <c r="A120" s="15">
        <f>IF(108&lt;=B$7*12,108,"")</f>
        <v/>
      </c>
      <c r="B120" s="15">
        <f>IF(108&lt;=B$7*12,TEXT(DATE(2035,3,1),"mmm yyyy"),"")</f>
        <v/>
      </c>
      <c r="C120" s="16">
        <f>IF(108&lt;=B$7*12,F119,"")</f>
        <v/>
      </c>
      <c r="D120" s="16">
        <f>IF(108&lt;=B$7*12,IFERROR(PMT(B$6/12,B$7*12,-(B4-B5)),0)-E120,"")</f>
        <v/>
      </c>
      <c r="E120" s="16">
        <f>IF(108&lt;=B$7*12,C120*B$6/12,"")</f>
        <v/>
      </c>
      <c r="F120" s="16">
        <f>IF(108&lt;=B$7*12,MAX(C120-D120,0),"")</f>
        <v/>
      </c>
      <c r="G120" s="16">
        <f>IF(108&lt;=B$7*12,G119+E120,"")</f>
        <v/>
      </c>
    </row>
    <row r="121">
      <c r="A121" s="14">
        <f>IF(109&lt;=B$7*12,109,"")</f>
        <v/>
      </c>
      <c r="B121" s="14">
        <f>IF(109&lt;=B$7*12,TEXT(DATE(2035,4,1),"mmm yyyy"),"")</f>
        <v/>
      </c>
      <c r="C121" s="5">
        <f>IF(109&lt;=B$7*12,F120,"")</f>
        <v/>
      </c>
      <c r="D121" s="5">
        <f>IF(109&lt;=B$7*12,IFERROR(PMT(B$6/12,B$7*12,-(B4-B5)),0)-E121,"")</f>
        <v/>
      </c>
      <c r="E121" s="5">
        <f>IF(109&lt;=B$7*12,C121*B$6/12,"")</f>
        <v/>
      </c>
      <c r="F121" s="5">
        <f>IF(109&lt;=B$7*12,MAX(C121-D121,0),"")</f>
        <v/>
      </c>
      <c r="G121" s="5">
        <f>IF(109&lt;=B$7*12,G120+E121,"")</f>
        <v/>
      </c>
    </row>
    <row r="122">
      <c r="A122" s="15">
        <f>IF(110&lt;=B$7*12,110,"")</f>
        <v/>
      </c>
      <c r="B122" s="15">
        <f>IF(110&lt;=B$7*12,TEXT(DATE(2035,5,1),"mmm yyyy"),"")</f>
        <v/>
      </c>
      <c r="C122" s="16">
        <f>IF(110&lt;=B$7*12,F121,"")</f>
        <v/>
      </c>
      <c r="D122" s="16">
        <f>IF(110&lt;=B$7*12,IFERROR(PMT(B$6/12,B$7*12,-(B4-B5)),0)-E122,"")</f>
        <v/>
      </c>
      <c r="E122" s="16">
        <f>IF(110&lt;=B$7*12,C122*B$6/12,"")</f>
        <v/>
      </c>
      <c r="F122" s="16">
        <f>IF(110&lt;=B$7*12,MAX(C122-D122,0),"")</f>
        <v/>
      </c>
      <c r="G122" s="16">
        <f>IF(110&lt;=B$7*12,G121+E122,"")</f>
        <v/>
      </c>
    </row>
    <row r="123">
      <c r="A123" s="14">
        <f>IF(111&lt;=B$7*12,111,"")</f>
        <v/>
      </c>
      <c r="B123" s="14">
        <f>IF(111&lt;=B$7*12,TEXT(DATE(2035,6,1),"mmm yyyy"),"")</f>
        <v/>
      </c>
      <c r="C123" s="5">
        <f>IF(111&lt;=B$7*12,F122,"")</f>
        <v/>
      </c>
      <c r="D123" s="5">
        <f>IF(111&lt;=B$7*12,IFERROR(PMT(B$6/12,B$7*12,-(B4-B5)),0)-E123,"")</f>
        <v/>
      </c>
      <c r="E123" s="5">
        <f>IF(111&lt;=B$7*12,C123*B$6/12,"")</f>
        <v/>
      </c>
      <c r="F123" s="5">
        <f>IF(111&lt;=B$7*12,MAX(C123-D123,0),"")</f>
        <v/>
      </c>
      <c r="G123" s="5">
        <f>IF(111&lt;=B$7*12,G122+E123,"")</f>
        <v/>
      </c>
    </row>
    <row r="124">
      <c r="A124" s="15">
        <f>IF(112&lt;=B$7*12,112,"")</f>
        <v/>
      </c>
      <c r="B124" s="15">
        <f>IF(112&lt;=B$7*12,TEXT(DATE(2035,7,1),"mmm yyyy"),"")</f>
        <v/>
      </c>
      <c r="C124" s="16">
        <f>IF(112&lt;=B$7*12,F123,"")</f>
        <v/>
      </c>
      <c r="D124" s="16">
        <f>IF(112&lt;=B$7*12,IFERROR(PMT(B$6/12,B$7*12,-(B4-B5)),0)-E124,"")</f>
        <v/>
      </c>
      <c r="E124" s="16">
        <f>IF(112&lt;=B$7*12,C124*B$6/12,"")</f>
        <v/>
      </c>
      <c r="F124" s="16">
        <f>IF(112&lt;=B$7*12,MAX(C124-D124,0),"")</f>
        <v/>
      </c>
      <c r="G124" s="16">
        <f>IF(112&lt;=B$7*12,G123+E124,"")</f>
        <v/>
      </c>
    </row>
    <row r="125">
      <c r="A125" s="14">
        <f>IF(113&lt;=B$7*12,113,"")</f>
        <v/>
      </c>
      <c r="B125" s="14">
        <f>IF(113&lt;=B$7*12,TEXT(DATE(2035,8,1),"mmm yyyy"),"")</f>
        <v/>
      </c>
      <c r="C125" s="5">
        <f>IF(113&lt;=B$7*12,F124,"")</f>
        <v/>
      </c>
      <c r="D125" s="5">
        <f>IF(113&lt;=B$7*12,IFERROR(PMT(B$6/12,B$7*12,-(B4-B5)),0)-E125,"")</f>
        <v/>
      </c>
      <c r="E125" s="5">
        <f>IF(113&lt;=B$7*12,C125*B$6/12,"")</f>
        <v/>
      </c>
      <c r="F125" s="5">
        <f>IF(113&lt;=B$7*12,MAX(C125-D125,0),"")</f>
        <v/>
      </c>
      <c r="G125" s="5">
        <f>IF(113&lt;=B$7*12,G124+E125,"")</f>
        <v/>
      </c>
    </row>
    <row r="126">
      <c r="A126" s="15">
        <f>IF(114&lt;=B$7*12,114,"")</f>
        <v/>
      </c>
      <c r="B126" s="15">
        <f>IF(114&lt;=B$7*12,TEXT(DATE(2035,9,1),"mmm yyyy"),"")</f>
        <v/>
      </c>
      <c r="C126" s="16">
        <f>IF(114&lt;=B$7*12,F125,"")</f>
        <v/>
      </c>
      <c r="D126" s="16">
        <f>IF(114&lt;=B$7*12,IFERROR(PMT(B$6/12,B$7*12,-(B4-B5)),0)-E126,"")</f>
        <v/>
      </c>
      <c r="E126" s="16">
        <f>IF(114&lt;=B$7*12,C126*B$6/12,"")</f>
        <v/>
      </c>
      <c r="F126" s="16">
        <f>IF(114&lt;=B$7*12,MAX(C126-D126,0),"")</f>
        <v/>
      </c>
      <c r="G126" s="16">
        <f>IF(114&lt;=B$7*12,G125+E126,"")</f>
        <v/>
      </c>
    </row>
    <row r="127">
      <c r="A127" s="14">
        <f>IF(115&lt;=B$7*12,115,"")</f>
        <v/>
      </c>
      <c r="B127" s="14">
        <f>IF(115&lt;=B$7*12,TEXT(DATE(2035,10,1),"mmm yyyy"),"")</f>
        <v/>
      </c>
      <c r="C127" s="5">
        <f>IF(115&lt;=B$7*12,F126,"")</f>
        <v/>
      </c>
      <c r="D127" s="5">
        <f>IF(115&lt;=B$7*12,IFERROR(PMT(B$6/12,B$7*12,-(B4-B5)),0)-E127,"")</f>
        <v/>
      </c>
      <c r="E127" s="5">
        <f>IF(115&lt;=B$7*12,C127*B$6/12,"")</f>
        <v/>
      </c>
      <c r="F127" s="5">
        <f>IF(115&lt;=B$7*12,MAX(C127-D127,0),"")</f>
        <v/>
      </c>
      <c r="G127" s="5">
        <f>IF(115&lt;=B$7*12,G126+E127,"")</f>
        <v/>
      </c>
    </row>
    <row r="128">
      <c r="A128" s="15">
        <f>IF(116&lt;=B$7*12,116,"")</f>
        <v/>
      </c>
      <c r="B128" s="15">
        <f>IF(116&lt;=B$7*12,TEXT(DATE(2035,11,1),"mmm yyyy"),"")</f>
        <v/>
      </c>
      <c r="C128" s="16">
        <f>IF(116&lt;=B$7*12,F127,"")</f>
        <v/>
      </c>
      <c r="D128" s="16">
        <f>IF(116&lt;=B$7*12,IFERROR(PMT(B$6/12,B$7*12,-(B4-B5)),0)-E128,"")</f>
        <v/>
      </c>
      <c r="E128" s="16">
        <f>IF(116&lt;=B$7*12,C128*B$6/12,"")</f>
        <v/>
      </c>
      <c r="F128" s="16">
        <f>IF(116&lt;=B$7*12,MAX(C128-D128,0),"")</f>
        <v/>
      </c>
      <c r="G128" s="16">
        <f>IF(116&lt;=B$7*12,G127+E128,"")</f>
        <v/>
      </c>
    </row>
    <row r="129">
      <c r="A129" s="14">
        <f>IF(117&lt;=B$7*12,117,"")</f>
        <v/>
      </c>
      <c r="B129" s="14">
        <f>IF(117&lt;=B$7*12,TEXT(DATE(2035,12,1),"mmm yyyy"),"")</f>
        <v/>
      </c>
      <c r="C129" s="5">
        <f>IF(117&lt;=B$7*12,F128,"")</f>
        <v/>
      </c>
      <c r="D129" s="5">
        <f>IF(117&lt;=B$7*12,IFERROR(PMT(B$6/12,B$7*12,-(B4-B5)),0)-E129,"")</f>
        <v/>
      </c>
      <c r="E129" s="5">
        <f>IF(117&lt;=B$7*12,C129*B$6/12,"")</f>
        <v/>
      </c>
      <c r="F129" s="5">
        <f>IF(117&lt;=B$7*12,MAX(C129-D129,0),"")</f>
        <v/>
      </c>
      <c r="G129" s="5">
        <f>IF(117&lt;=B$7*12,G128+E129,"")</f>
        <v/>
      </c>
    </row>
    <row r="130">
      <c r="A130" s="15">
        <f>IF(118&lt;=B$7*12,118,"")</f>
        <v/>
      </c>
      <c r="B130" s="15">
        <f>IF(118&lt;=B$7*12,TEXT(DATE(2036,1,1),"mmm yyyy"),"")</f>
        <v/>
      </c>
      <c r="C130" s="16">
        <f>IF(118&lt;=B$7*12,F129,"")</f>
        <v/>
      </c>
      <c r="D130" s="16">
        <f>IF(118&lt;=B$7*12,IFERROR(PMT(B$6/12,B$7*12,-(B4-B5)),0)-E130,"")</f>
        <v/>
      </c>
      <c r="E130" s="16">
        <f>IF(118&lt;=B$7*12,C130*B$6/12,"")</f>
        <v/>
      </c>
      <c r="F130" s="16">
        <f>IF(118&lt;=B$7*12,MAX(C130-D130,0),"")</f>
        <v/>
      </c>
      <c r="G130" s="16">
        <f>IF(118&lt;=B$7*12,G129+E130,"")</f>
        <v/>
      </c>
    </row>
    <row r="131">
      <c r="A131" s="14">
        <f>IF(119&lt;=B$7*12,119,"")</f>
        <v/>
      </c>
      <c r="B131" s="14">
        <f>IF(119&lt;=B$7*12,TEXT(DATE(2036,2,1),"mmm yyyy"),"")</f>
        <v/>
      </c>
      <c r="C131" s="5">
        <f>IF(119&lt;=B$7*12,F130,"")</f>
        <v/>
      </c>
      <c r="D131" s="5">
        <f>IF(119&lt;=B$7*12,IFERROR(PMT(B$6/12,B$7*12,-(B4-B5)),0)-E131,"")</f>
        <v/>
      </c>
      <c r="E131" s="5">
        <f>IF(119&lt;=B$7*12,C131*B$6/12,"")</f>
        <v/>
      </c>
      <c r="F131" s="5">
        <f>IF(119&lt;=B$7*12,MAX(C131-D131,0),"")</f>
        <v/>
      </c>
      <c r="G131" s="5">
        <f>IF(119&lt;=B$7*12,G130+E131,"")</f>
        <v/>
      </c>
    </row>
    <row r="132">
      <c r="A132" s="15">
        <f>IF(120&lt;=B$7*12,120,"")</f>
        <v/>
      </c>
      <c r="B132" s="15">
        <f>IF(120&lt;=B$7*12,TEXT(DATE(2036,3,1),"mmm yyyy"),"")</f>
        <v/>
      </c>
      <c r="C132" s="16">
        <f>IF(120&lt;=B$7*12,F131,"")</f>
        <v/>
      </c>
      <c r="D132" s="16">
        <f>IF(120&lt;=B$7*12,IFERROR(PMT(B$6/12,B$7*12,-(B4-B5)),0)-E132,"")</f>
        <v/>
      </c>
      <c r="E132" s="16">
        <f>IF(120&lt;=B$7*12,C132*B$6/12,"")</f>
        <v/>
      </c>
      <c r="F132" s="16">
        <f>IF(120&lt;=B$7*12,MAX(C132-D132,0),"")</f>
        <v/>
      </c>
      <c r="G132" s="16">
        <f>IF(120&lt;=B$7*12,G131+E132,"")</f>
        <v/>
      </c>
    </row>
    <row r="133">
      <c r="A133" s="14">
        <f>IF(121&lt;=B$7*12,121,"")</f>
        <v/>
      </c>
      <c r="B133" s="14">
        <f>IF(121&lt;=B$7*12,TEXT(DATE(2036,4,1),"mmm yyyy"),"")</f>
        <v/>
      </c>
      <c r="C133" s="5">
        <f>IF(121&lt;=B$7*12,F132,"")</f>
        <v/>
      </c>
      <c r="D133" s="5">
        <f>IF(121&lt;=B$7*12,IFERROR(PMT(B$6/12,B$7*12,-(B4-B5)),0)-E133,"")</f>
        <v/>
      </c>
      <c r="E133" s="5">
        <f>IF(121&lt;=B$7*12,C133*B$6/12,"")</f>
        <v/>
      </c>
      <c r="F133" s="5">
        <f>IF(121&lt;=B$7*12,MAX(C133-D133,0),"")</f>
        <v/>
      </c>
      <c r="G133" s="5">
        <f>IF(121&lt;=B$7*12,G132+E133,"")</f>
        <v/>
      </c>
    </row>
    <row r="134">
      <c r="A134" s="15">
        <f>IF(122&lt;=B$7*12,122,"")</f>
        <v/>
      </c>
      <c r="B134" s="15">
        <f>IF(122&lt;=B$7*12,TEXT(DATE(2036,5,1),"mmm yyyy"),"")</f>
        <v/>
      </c>
      <c r="C134" s="16">
        <f>IF(122&lt;=B$7*12,F133,"")</f>
        <v/>
      </c>
      <c r="D134" s="16">
        <f>IF(122&lt;=B$7*12,IFERROR(PMT(B$6/12,B$7*12,-(B4-B5)),0)-E134,"")</f>
        <v/>
      </c>
      <c r="E134" s="16">
        <f>IF(122&lt;=B$7*12,C134*B$6/12,"")</f>
        <v/>
      </c>
      <c r="F134" s="16">
        <f>IF(122&lt;=B$7*12,MAX(C134-D134,0),"")</f>
        <v/>
      </c>
      <c r="G134" s="16">
        <f>IF(122&lt;=B$7*12,G133+E134,"")</f>
        <v/>
      </c>
    </row>
    <row r="135">
      <c r="A135" s="14">
        <f>IF(123&lt;=B$7*12,123,"")</f>
        <v/>
      </c>
      <c r="B135" s="14">
        <f>IF(123&lt;=B$7*12,TEXT(DATE(2036,6,1),"mmm yyyy"),"")</f>
        <v/>
      </c>
      <c r="C135" s="5">
        <f>IF(123&lt;=B$7*12,F134,"")</f>
        <v/>
      </c>
      <c r="D135" s="5">
        <f>IF(123&lt;=B$7*12,IFERROR(PMT(B$6/12,B$7*12,-(B4-B5)),0)-E135,"")</f>
        <v/>
      </c>
      <c r="E135" s="5">
        <f>IF(123&lt;=B$7*12,C135*B$6/12,"")</f>
        <v/>
      </c>
      <c r="F135" s="5">
        <f>IF(123&lt;=B$7*12,MAX(C135-D135,0),"")</f>
        <v/>
      </c>
      <c r="G135" s="5">
        <f>IF(123&lt;=B$7*12,G134+E135,"")</f>
        <v/>
      </c>
    </row>
    <row r="136">
      <c r="A136" s="15">
        <f>IF(124&lt;=B$7*12,124,"")</f>
        <v/>
      </c>
      <c r="B136" s="15">
        <f>IF(124&lt;=B$7*12,TEXT(DATE(2036,7,1),"mmm yyyy"),"")</f>
        <v/>
      </c>
      <c r="C136" s="16">
        <f>IF(124&lt;=B$7*12,F135,"")</f>
        <v/>
      </c>
      <c r="D136" s="16">
        <f>IF(124&lt;=B$7*12,IFERROR(PMT(B$6/12,B$7*12,-(B4-B5)),0)-E136,"")</f>
        <v/>
      </c>
      <c r="E136" s="16">
        <f>IF(124&lt;=B$7*12,C136*B$6/12,"")</f>
        <v/>
      </c>
      <c r="F136" s="16">
        <f>IF(124&lt;=B$7*12,MAX(C136-D136,0),"")</f>
        <v/>
      </c>
      <c r="G136" s="16">
        <f>IF(124&lt;=B$7*12,G135+E136,"")</f>
        <v/>
      </c>
    </row>
    <row r="137">
      <c r="A137" s="14">
        <f>IF(125&lt;=B$7*12,125,"")</f>
        <v/>
      </c>
      <c r="B137" s="14">
        <f>IF(125&lt;=B$7*12,TEXT(DATE(2036,8,1),"mmm yyyy"),"")</f>
        <v/>
      </c>
      <c r="C137" s="5">
        <f>IF(125&lt;=B$7*12,F136,"")</f>
        <v/>
      </c>
      <c r="D137" s="5">
        <f>IF(125&lt;=B$7*12,IFERROR(PMT(B$6/12,B$7*12,-(B4-B5)),0)-E137,"")</f>
        <v/>
      </c>
      <c r="E137" s="5">
        <f>IF(125&lt;=B$7*12,C137*B$6/12,"")</f>
        <v/>
      </c>
      <c r="F137" s="5">
        <f>IF(125&lt;=B$7*12,MAX(C137-D137,0),"")</f>
        <v/>
      </c>
      <c r="G137" s="5">
        <f>IF(125&lt;=B$7*12,G136+E137,"")</f>
        <v/>
      </c>
    </row>
    <row r="138">
      <c r="A138" s="15">
        <f>IF(126&lt;=B$7*12,126,"")</f>
        <v/>
      </c>
      <c r="B138" s="15">
        <f>IF(126&lt;=B$7*12,TEXT(DATE(2036,9,1),"mmm yyyy"),"")</f>
        <v/>
      </c>
      <c r="C138" s="16">
        <f>IF(126&lt;=B$7*12,F137,"")</f>
        <v/>
      </c>
      <c r="D138" s="16">
        <f>IF(126&lt;=B$7*12,IFERROR(PMT(B$6/12,B$7*12,-(B4-B5)),0)-E138,"")</f>
        <v/>
      </c>
      <c r="E138" s="16">
        <f>IF(126&lt;=B$7*12,C138*B$6/12,"")</f>
        <v/>
      </c>
      <c r="F138" s="16">
        <f>IF(126&lt;=B$7*12,MAX(C138-D138,0),"")</f>
        <v/>
      </c>
      <c r="G138" s="16">
        <f>IF(126&lt;=B$7*12,G137+E138,"")</f>
        <v/>
      </c>
    </row>
    <row r="139">
      <c r="A139" s="14">
        <f>IF(127&lt;=B$7*12,127,"")</f>
        <v/>
      </c>
      <c r="B139" s="14">
        <f>IF(127&lt;=B$7*12,TEXT(DATE(2036,10,1),"mmm yyyy"),"")</f>
        <v/>
      </c>
      <c r="C139" s="5">
        <f>IF(127&lt;=B$7*12,F138,"")</f>
        <v/>
      </c>
      <c r="D139" s="5">
        <f>IF(127&lt;=B$7*12,IFERROR(PMT(B$6/12,B$7*12,-(B4-B5)),0)-E139,"")</f>
        <v/>
      </c>
      <c r="E139" s="5">
        <f>IF(127&lt;=B$7*12,C139*B$6/12,"")</f>
        <v/>
      </c>
      <c r="F139" s="5">
        <f>IF(127&lt;=B$7*12,MAX(C139-D139,0),"")</f>
        <v/>
      </c>
      <c r="G139" s="5">
        <f>IF(127&lt;=B$7*12,G138+E139,"")</f>
        <v/>
      </c>
    </row>
    <row r="140">
      <c r="A140" s="15">
        <f>IF(128&lt;=B$7*12,128,"")</f>
        <v/>
      </c>
      <c r="B140" s="15">
        <f>IF(128&lt;=B$7*12,TEXT(DATE(2036,11,1),"mmm yyyy"),"")</f>
        <v/>
      </c>
      <c r="C140" s="16">
        <f>IF(128&lt;=B$7*12,F139,"")</f>
        <v/>
      </c>
      <c r="D140" s="16">
        <f>IF(128&lt;=B$7*12,IFERROR(PMT(B$6/12,B$7*12,-(B4-B5)),0)-E140,"")</f>
        <v/>
      </c>
      <c r="E140" s="16">
        <f>IF(128&lt;=B$7*12,C140*B$6/12,"")</f>
        <v/>
      </c>
      <c r="F140" s="16">
        <f>IF(128&lt;=B$7*12,MAX(C140-D140,0),"")</f>
        <v/>
      </c>
      <c r="G140" s="16">
        <f>IF(128&lt;=B$7*12,G139+E140,"")</f>
        <v/>
      </c>
    </row>
    <row r="141">
      <c r="A141" s="14">
        <f>IF(129&lt;=B$7*12,129,"")</f>
        <v/>
      </c>
      <c r="B141" s="14">
        <f>IF(129&lt;=B$7*12,TEXT(DATE(2036,12,1),"mmm yyyy"),"")</f>
        <v/>
      </c>
      <c r="C141" s="5">
        <f>IF(129&lt;=B$7*12,F140,"")</f>
        <v/>
      </c>
      <c r="D141" s="5">
        <f>IF(129&lt;=B$7*12,IFERROR(PMT(B$6/12,B$7*12,-(B4-B5)),0)-E141,"")</f>
        <v/>
      </c>
      <c r="E141" s="5">
        <f>IF(129&lt;=B$7*12,C141*B$6/12,"")</f>
        <v/>
      </c>
      <c r="F141" s="5">
        <f>IF(129&lt;=B$7*12,MAX(C141-D141,0),"")</f>
        <v/>
      </c>
      <c r="G141" s="5">
        <f>IF(129&lt;=B$7*12,G140+E141,"")</f>
        <v/>
      </c>
    </row>
    <row r="142">
      <c r="A142" s="15">
        <f>IF(130&lt;=B$7*12,130,"")</f>
        <v/>
      </c>
      <c r="B142" s="15">
        <f>IF(130&lt;=B$7*12,TEXT(DATE(2037,1,1),"mmm yyyy"),"")</f>
        <v/>
      </c>
      <c r="C142" s="16">
        <f>IF(130&lt;=B$7*12,F141,"")</f>
        <v/>
      </c>
      <c r="D142" s="16">
        <f>IF(130&lt;=B$7*12,IFERROR(PMT(B$6/12,B$7*12,-(B4-B5)),0)-E142,"")</f>
        <v/>
      </c>
      <c r="E142" s="16">
        <f>IF(130&lt;=B$7*12,C142*B$6/12,"")</f>
        <v/>
      </c>
      <c r="F142" s="16">
        <f>IF(130&lt;=B$7*12,MAX(C142-D142,0),"")</f>
        <v/>
      </c>
      <c r="G142" s="16">
        <f>IF(130&lt;=B$7*12,G141+E142,"")</f>
        <v/>
      </c>
    </row>
    <row r="143">
      <c r="A143" s="14">
        <f>IF(131&lt;=B$7*12,131,"")</f>
        <v/>
      </c>
      <c r="B143" s="14">
        <f>IF(131&lt;=B$7*12,TEXT(DATE(2037,2,1),"mmm yyyy"),"")</f>
        <v/>
      </c>
      <c r="C143" s="5">
        <f>IF(131&lt;=B$7*12,F142,"")</f>
        <v/>
      </c>
      <c r="D143" s="5">
        <f>IF(131&lt;=B$7*12,IFERROR(PMT(B$6/12,B$7*12,-(B4-B5)),0)-E143,"")</f>
        <v/>
      </c>
      <c r="E143" s="5">
        <f>IF(131&lt;=B$7*12,C143*B$6/12,"")</f>
        <v/>
      </c>
      <c r="F143" s="5">
        <f>IF(131&lt;=B$7*12,MAX(C143-D143,0),"")</f>
        <v/>
      </c>
      <c r="G143" s="5">
        <f>IF(131&lt;=B$7*12,G142+E143,"")</f>
        <v/>
      </c>
    </row>
    <row r="144">
      <c r="A144" s="15">
        <f>IF(132&lt;=B$7*12,132,"")</f>
        <v/>
      </c>
      <c r="B144" s="15">
        <f>IF(132&lt;=B$7*12,TEXT(DATE(2037,3,1),"mmm yyyy"),"")</f>
        <v/>
      </c>
      <c r="C144" s="16">
        <f>IF(132&lt;=B$7*12,F143,"")</f>
        <v/>
      </c>
      <c r="D144" s="16">
        <f>IF(132&lt;=B$7*12,IFERROR(PMT(B$6/12,B$7*12,-(B4-B5)),0)-E144,"")</f>
        <v/>
      </c>
      <c r="E144" s="16">
        <f>IF(132&lt;=B$7*12,C144*B$6/12,"")</f>
        <v/>
      </c>
      <c r="F144" s="16">
        <f>IF(132&lt;=B$7*12,MAX(C144-D144,0),"")</f>
        <v/>
      </c>
      <c r="G144" s="16">
        <f>IF(132&lt;=B$7*12,G143+E144,"")</f>
        <v/>
      </c>
    </row>
    <row r="145">
      <c r="A145" s="14">
        <f>IF(133&lt;=B$7*12,133,"")</f>
        <v/>
      </c>
      <c r="B145" s="14">
        <f>IF(133&lt;=B$7*12,TEXT(DATE(2037,4,1),"mmm yyyy"),"")</f>
        <v/>
      </c>
      <c r="C145" s="5">
        <f>IF(133&lt;=B$7*12,F144,"")</f>
        <v/>
      </c>
      <c r="D145" s="5">
        <f>IF(133&lt;=B$7*12,IFERROR(PMT(B$6/12,B$7*12,-(B4-B5)),0)-E145,"")</f>
        <v/>
      </c>
      <c r="E145" s="5">
        <f>IF(133&lt;=B$7*12,C145*B$6/12,"")</f>
        <v/>
      </c>
      <c r="F145" s="5">
        <f>IF(133&lt;=B$7*12,MAX(C145-D145,0),"")</f>
        <v/>
      </c>
      <c r="G145" s="5">
        <f>IF(133&lt;=B$7*12,G144+E145,"")</f>
        <v/>
      </c>
    </row>
    <row r="146">
      <c r="A146" s="15">
        <f>IF(134&lt;=B$7*12,134,"")</f>
        <v/>
      </c>
      <c r="B146" s="15">
        <f>IF(134&lt;=B$7*12,TEXT(DATE(2037,5,1),"mmm yyyy"),"")</f>
        <v/>
      </c>
      <c r="C146" s="16">
        <f>IF(134&lt;=B$7*12,F145,"")</f>
        <v/>
      </c>
      <c r="D146" s="16">
        <f>IF(134&lt;=B$7*12,IFERROR(PMT(B$6/12,B$7*12,-(B4-B5)),0)-E146,"")</f>
        <v/>
      </c>
      <c r="E146" s="16">
        <f>IF(134&lt;=B$7*12,C146*B$6/12,"")</f>
        <v/>
      </c>
      <c r="F146" s="16">
        <f>IF(134&lt;=B$7*12,MAX(C146-D146,0),"")</f>
        <v/>
      </c>
      <c r="G146" s="16">
        <f>IF(134&lt;=B$7*12,G145+E146,"")</f>
        <v/>
      </c>
    </row>
    <row r="147">
      <c r="A147" s="14">
        <f>IF(135&lt;=B$7*12,135,"")</f>
        <v/>
      </c>
      <c r="B147" s="14">
        <f>IF(135&lt;=B$7*12,TEXT(DATE(2037,6,1),"mmm yyyy"),"")</f>
        <v/>
      </c>
      <c r="C147" s="5">
        <f>IF(135&lt;=B$7*12,F146,"")</f>
        <v/>
      </c>
      <c r="D147" s="5">
        <f>IF(135&lt;=B$7*12,IFERROR(PMT(B$6/12,B$7*12,-(B4-B5)),0)-E147,"")</f>
        <v/>
      </c>
      <c r="E147" s="5">
        <f>IF(135&lt;=B$7*12,C147*B$6/12,"")</f>
        <v/>
      </c>
      <c r="F147" s="5">
        <f>IF(135&lt;=B$7*12,MAX(C147-D147,0),"")</f>
        <v/>
      </c>
      <c r="G147" s="5">
        <f>IF(135&lt;=B$7*12,G146+E147,"")</f>
        <v/>
      </c>
    </row>
    <row r="148">
      <c r="A148" s="15">
        <f>IF(136&lt;=B$7*12,136,"")</f>
        <v/>
      </c>
      <c r="B148" s="15">
        <f>IF(136&lt;=B$7*12,TEXT(DATE(2037,7,1),"mmm yyyy"),"")</f>
        <v/>
      </c>
      <c r="C148" s="16">
        <f>IF(136&lt;=B$7*12,F147,"")</f>
        <v/>
      </c>
      <c r="D148" s="16">
        <f>IF(136&lt;=B$7*12,IFERROR(PMT(B$6/12,B$7*12,-(B4-B5)),0)-E148,"")</f>
        <v/>
      </c>
      <c r="E148" s="16">
        <f>IF(136&lt;=B$7*12,C148*B$6/12,"")</f>
        <v/>
      </c>
      <c r="F148" s="16">
        <f>IF(136&lt;=B$7*12,MAX(C148-D148,0),"")</f>
        <v/>
      </c>
      <c r="G148" s="16">
        <f>IF(136&lt;=B$7*12,G147+E148,"")</f>
        <v/>
      </c>
    </row>
    <row r="149">
      <c r="A149" s="14">
        <f>IF(137&lt;=B$7*12,137,"")</f>
        <v/>
      </c>
      <c r="B149" s="14">
        <f>IF(137&lt;=B$7*12,TEXT(DATE(2037,8,1),"mmm yyyy"),"")</f>
        <v/>
      </c>
      <c r="C149" s="5">
        <f>IF(137&lt;=B$7*12,F148,"")</f>
        <v/>
      </c>
      <c r="D149" s="5">
        <f>IF(137&lt;=B$7*12,IFERROR(PMT(B$6/12,B$7*12,-(B4-B5)),0)-E149,"")</f>
        <v/>
      </c>
      <c r="E149" s="5">
        <f>IF(137&lt;=B$7*12,C149*B$6/12,"")</f>
        <v/>
      </c>
      <c r="F149" s="5">
        <f>IF(137&lt;=B$7*12,MAX(C149-D149,0),"")</f>
        <v/>
      </c>
      <c r="G149" s="5">
        <f>IF(137&lt;=B$7*12,G148+E149,"")</f>
        <v/>
      </c>
    </row>
    <row r="150">
      <c r="A150" s="15">
        <f>IF(138&lt;=B$7*12,138,"")</f>
        <v/>
      </c>
      <c r="B150" s="15">
        <f>IF(138&lt;=B$7*12,TEXT(DATE(2037,9,1),"mmm yyyy"),"")</f>
        <v/>
      </c>
      <c r="C150" s="16">
        <f>IF(138&lt;=B$7*12,F149,"")</f>
        <v/>
      </c>
      <c r="D150" s="16">
        <f>IF(138&lt;=B$7*12,IFERROR(PMT(B$6/12,B$7*12,-(B4-B5)),0)-E150,"")</f>
        <v/>
      </c>
      <c r="E150" s="16">
        <f>IF(138&lt;=B$7*12,C150*B$6/12,"")</f>
        <v/>
      </c>
      <c r="F150" s="16">
        <f>IF(138&lt;=B$7*12,MAX(C150-D150,0),"")</f>
        <v/>
      </c>
      <c r="G150" s="16">
        <f>IF(138&lt;=B$7*12,G149+E150,"")</f>
        <v/>
      </c>
    </row>
    <row r="151">
      <c r="A151" s="14">
        <f>IF(139&lt;=B$7*12,139,"")</f>
        <v/>
      </c>
      <c r="B151" s="14">
        <f>IF(139&lt;=B$7*12,TEXT(DATE(2037,10,1),"mmm yyyy"),"")</f>
        <v/>
      </c>
      <c r="C151" s="5">
        <f>IF(139&lt;=B$7*12,F150,"")</f>
        <v/>
      </c>
      <c r="D151" s="5">
        <f>IF(139&lt;=B$7*12,IFERROR(PMT(B$6/12,B$7*12,-(B4-B5)),0)-E151,"")</f>
        <v/>
      </c>
      <c r="E151" s="5">
        <f>IF(139&lt;=B$7*12,C151*B$6/12,"")</f>
        <v/>
      </c>
      <c r="F151" s="5">
        <f>IF(139&lt;=B$7*12,MAX(C151-D151,0),"")</f>
        <v/>
      </c>
      <c r="G151" s="5">
        <f>IF(139&lt;=B$7*12,G150+E151,"")</f>
        <v/>
      </c>
    </row>
    <row r="152">
      <c r="A152" s="15">
        <f>IF(140&lt;=B$7*12,140,"")</f>
        <v/>
      </c>
      <c r="B152" s="15">
        <f>IF(140&lt;=B$7*12,TEXT(DATE(2037,11,1),"mmm yyyy"),"")</f>
        <v/>
      </c>
      <c r="C152" s="16">
        <f>IF(140&lt;=B$7*12,F151,"")</f>
        <v/>
      </c>
      <c r="D152" s="16">
        <f>IF(140&lt;=B$7*12,IFERROR(PMT(B$6/12,B$7*12,-(B4-B5)),0)-E152,"")</f>
        <v/>
      </c>
      <c r="E152" s="16">
        <f>IF(140&lt;=B$7*12,C152*B$6/12,"")</f>
        <v/>
      </c>
      <c r="F152" s="16">
        <f>IF(140&lt;=B$7*12,MAX(C152-D152,0),"")</f>
        <v/>
      </c>
      <c r="G152" s="16">
        <f>IF(140&lt;=B$7*12,G151+E152,"")</f>
        <v/>
      </c>
    </row>
    <row r="153">
      <c r="A153" s="14">
        <f>IF(141&lt;=B$7*12,141,"")</f>
        <v/>
      </c>
      <c r="B153" s="14">
        <f>IF(141&lt;=B$7*12,TEXT(DATE(2037,12,1),"mmm yyyy"),"")</f>
        <v/>
      </c>
      <c r="C153" s="5">
        <f>IF(141&lt;=B$7*12,F152,"")</f>
        <v/>
      </c>
      <c r="D153" s="5">
        <f>IF(141&lt;=B$7*12,IFERROR(PMT(B$6/12,B$7*12,-(B4-B5)),0)-E153,"")</f>
        <v/>
      </c>
      <c r="E153" s="5">
        <f>IF(141&lt;=B$7*12,C153*B$6/12,"")</f>
        <v/>
      </c>
      <c r="F153" s="5">
        <f>IF(141&lt;=B$7*12,MAX(C153-D153,0),"")</f>
        <v/>
      </c>
      <c r="G153" s="5">
        <f>IF(141&lt;=B$7*12,G152+E153,"")</f>
        <v/>
      </c>
    </row>
    <row r="154">
      <c r="A154" s="15">
        <f>IF(142&lt;=B$7*12,142,"")</f>
        <v/>
      </c>
      <c r="B154" s="15">
        <f>IF(142&lt;=B$7*12,TEXT(DATE(2038,1,1),"mmm yyyy"),"")</f>
        <v/>
      </c>
      <c r="C154" s="16">
        <f>IF(142&lt;=B$7*12,F153,"")</f>
        <v/>
      </c>
      <c r="D154" s="16">
        <f>IF(142&lt;=B$7*12,IFERROR(PMT(B$6/12,B$7*12,-(B4-B5)),0)-E154,"")</f>
        <v/>
      </c>
      <c r="E154" s="16">
        <f>IF(142&lt;=B$7*12,C154*B$6/12,"")</f>
        <v/>
      </c>
      <c r="F154" s="16">
        <f>IF(142&lt;=B$7*12,MAX(C154-D154,0),"")</f>
        <v/>
      </c>
      <c r="G154" s="16">
        <f>IF(142&lt;=B$7*12,G153+E154,"")</f>
        <v/>
      </c>
    </row>
    <row r="155">
      <c r="A155" s="14">
        <f>IF(143&lt;=B$7*12,143,"")</f>
        <v/>
      </c>
      <c r="B155" s="14">
        <f>IF(143&lt;=B$7*12,TEXT(DATE(2038,2,1),"mmm yyyy"),"")</f>
        <v/>
      </c>
      <c r="C155" s="5">
        <f>IF(143&lt;=B$7*12,F154,"")</f>
        <v/>
      </c>
      <c r="D155" s="5">
        <f>IF(143&lt;=B$7*12,IFERROR(PMT(B$6/12,B$7*12,-(B4-B5)),0)-E155,"")</f>
        <v/>
      </c>
      <c r="E155" s="5">
        <f>IF(143&lt;=B$7*12,C155*B$6/12,"")</f>
        <v/>
      </c>
      <c r="F155" s="5">
        <f>IF(143&lt;=B$7*12,MAX(C155-D155,0),"")</f>
        <v/>
      </c>
      <c r="G155" s="5">
        <f>IF(143&lt;=B$7*12,G154+E155,"")</f>
        <v/>
      </c>
    </row>
    <row r="156">
      <c r="A156" s="15">
        <f>IF(144&lt;=B$7*12,144,"")</f>
        <v/>
      </c>
      <c r="B156" s="15">
        <f>IF(144&lt;=B$7*12,TEXT(DATE(2038,3,1),"mmm yyyy"),"")</f>
        <v/>
      </c>
      <c r="C156" s="16">
        <f>IF(144&lt;=B$7*12,F155,"")</f>
        <v/>
      </c>
      <c r="D156" s="16">
        <f>IF(144&lt;=B$7*12,IFERROR(PMT(B$6/12,B$7*12,-(B4-B5)),0)-E156,"")</f>
        <v/>
      </c>
      <c r="E156" s="16">
        <f>IF(144&lt;=B$7*12,C156*B$6/12,"")</f>
        <v/>
      </c>
      <c r="F156" s="16">
        <f>IF(144&lt;=B$7*12,MAX(C156-D156,0),"")</f>
        <v/>
      </c>
      <c r="G156" s="16">
        <f>IF(144&lt;=B$7*12,G155+E156,"")</f>
        <v/>
      </c>
    </row>
    <row r="157">
      <c r="A157" s="14">
        <f>IF(145&lt;=B$7*12,145,"")</f>
        <v/>
      </c>
      <c r="B157" s="14">
        <f>IF(145&lt;=B$7*12,TEXT(DATE(2038,4,1),"mmm yyyy"),"")</f>
        <v/>
      </c>
      <c r="C157" s="5">
        <f>IF(145&lt;=B$7*12,F156,"")</f>
        <v/>
      </c>
      <c r="D157" s="5">
        <f>IF(145&lt;=B$7*12,IFERROR(PMT(B$6/12,B$7*12,-(B4-B5)),0)-E157,"")</f>
        <v/>
      </c>
      <c r="E157" s="5">
        <f>IF(145&lt;=B$7*12,C157*B$6/12,"")</f>
        <v/>
      </c>
      <c r="F157" s="5">
        <f>IF(145&lt;=B$7*12,MAX(C157-D157,0),"")</f>
        <v/>
      </c>
      <c r="G157" s="5">
        <f>IF(145&lt;=B$7*12,G156+E157,"")</f>
        <v/>
      </c>
    </row>
    <row r="158">
      <c r="A158" s="15">
        <f>IF(146&lt;=B$7*12,146,"")</f>
        <v/>
      </c>
      <c r="B158" s="15">
        <f>IF(146&lt;=B$7*12,TEXT(DATE(2038,5,1),"mmm yyyy"),"")</f>
        <v/>
      </c>
      <c r="C158" s="16">
        <f>IF(146&lt;=B$7*12,F157,"")</f>
        <v/>
      </c>
      <c r="D158" s="16">
        <f>IF(146&lt;=B$7*12,IFERROR(PMT(B$6/12,B$7*12,-(B4-B5)),0)-E158,"")</f>
        <v/>
      </c>
      <c r="E158" s="16">
        <f>IF(146&lt;=B$7*12,C158*B$6/12,"")</f>
        <v/>
      </c>
      <c r="F158" s="16">
        <f>IF(146&lt;=B$7*12,MAX(C158-D158,0),"")</f>
        <v/>
      </c>
      <c r="G158" s="16">
        <f>IF(146&lt;=B$7*12,G157+E158,"")</f>
        <v/>
      </c>
    </row>
    <row r="159">
      <c r="A159" s="14">
        <f>IF(147&lt;=B$7*12,147,"")</f>
        <v/>
      </c>
      <c r="B159" s="14">
        <f>IF(147&lt;=B$7*12,TEXT(DATE(2038,6,1),"mmm yyyy"),"")</f>
        <v/>
      </c>
      <c r="C159" s="5">
        <f>IF(147&lt;=B$7*12,F158,"")</f>
        <v/>
      </c>
      <c r="D159" s="5">
        <f>IF(147&lt;=B$7*12,IFERROR(PMT(B$6/12,B$7*12,-(B4-B5)),0)-E159,"")</f>
        <v/>
      </c>
      <c r="E159" s="5">
        <f>IF(147&lt;=B$7*12,C159*B$6/12,"")</f>
        <v/>
      </c>
      <c r="F159" s="5">
        <f>IF(147&lt;=B$7*12,MAX(C159-D159,0),"")</f>
        <v/>
      </c>
      <c r="G159" s="5">
        <f>IF(147&lt;=B$7*12,G158+E159,"")</f>
        <v/>
      </c>
    </row>
    <row r="160">
      <c r="A160" s="15">
        <f>IF(148&lt;=B$7*12,148,"")</f>
        <v/>
      </c>
      <c r="B160" s="15">
        <f>IF(148&lt;=B$7*12,TEXT(DATE(2038,7,1),"mmm yyyy"),"")</f>
        <v/>
      </c>
      <c r="C160" s="16">
        <f>IF(148&lt;=B$7*12,F159,"")</f>
        <v/>
      </c>
      <c r="D160" s="16">
        <f>IF(148&lt;=B$7*12,IFERROR(PMT(B$6/12,B$7*12,-(B4-B5)),0)-E160,"")</f>
        <v/>
      </c>
      <c r="E160" s="16">
        <f>IF(148&lt;=B$7*12,C160*B$6/12,"")</f>
        <v/>
      </c>
      <c r="F160" s="16">
        <f>IF(148&lt;=B$7*12,MAX(C160-D160,0),"")</f>
        <v/>
      </c>
      <c r="G160" s="16">
        <f>IF(148&lt;=B$7*12,G159+E160,"")</f>
        <v/>
      </c>
    </row>
    <row r="161">
      <c r="A161" s="14">
        <f>IF(149&lt;=B$7*12,149,"")</f>
        <v/>
      </c>
      <c r="B161" s="14">
        <f>IF(149&lt;=B$7*12,TEXT(DATE(2038,8,1),"mmm yyyy"),"")</f>
        <v/>
      </c>
      <c r="C161" s="5">
        <f>IF(149&lt;=B$7*12,F160,"")</f>
        <v/>
      </c>
      <c r="D161" s="5">
        <f>IF(149&lt;=B$7*12,IFERROR(PMT(B$6/12,B$7*12,-(B4-B5)),0)-E161,"")</f>
        <v/>
      </c>
      <c r="E161" s="5">
        <f>IF(149&lt;=B$7*12,C161*B$6/12,"")</f>
        <v/>
      </c>
      <c r="F161" s="5">
        <f>IF(149&lt;=B$7*12,MAX(C161-D161,0),"")</f>
        <v/>
      </c>
      <c r="G161" s="5">
        <f>IF(149&lt;=B$7*12,G160+E161,"")</f>
        <v/>
      </c>
    </row>
    <row r="162">
      <c r="A162" s="15">
        <f>IF(150&lt;=B$7*12,150,"")</f>
        <v/>
      </c>
      <c r="B162" s="15">
        <f>IF(150&lt;=B$7*12,TEXT(DATE(2038,9,1),"mmm yyyy"),"")</f>
        <v/>
      </c>
      <c r="C162" s="16">
        <f>IF(150&lt;=B$7*12,F161,"")</f>
        <v/>
      </c>
      <c r="D162" s="16">
        <f>IF(150&lt;=B$7*12,IFERROR(PMT(B$6/12,B$7*12,-(B4-B5)),0)-E162,"")</f>
        <v/>
      </c>
      <c r="E162" s="16">
        <f>IF(150&lt;=B$7*12,C162*B$6/12,"")</f>
        <v/>
      </c>
      <c r="F162" s="16">
        <f>IF(150&lt;=B$7*12,MAX(C162-D162,0),"")</f>
        <v/>
      </c>
      <c r="G162" s="16">
        <f>IF(150&lt;=B$7*12,G161+E162,"")</f>
        <v/>
      </c>
    </row>
    <row r="163">
      <c r="A163" s="14">
        <f>IF(151&lt;=B$7*12,151,"")</f>
        <v/>
      </c>
      <c r="B163" s="14">
        <f>IF(151&lt;=B$7*12,TEXT(DATE(2038,10,1),"mmm yyyy"),"")</f>
        <v/>
      </c>
      <c r="C163" s="5">
        <f>IF(151&lt;=B$7*12,F162,"")</f>
        <v/>
      </c>
      <c r="D163" s="5">
        <f>IF(151&lt;=B$7*12,IFERROR(PMT(B$6/12,B$7*12,-(B4-B5)),0)-E163,"")</f>
        <v/>
      </c>
      <c r="E163" s="5">
        <f>IF(151&lt;=B$7*12,C163*B$6/12,"")</f>
        <v/>
      </c>
      <c r="F163" s="5">
        <f>IF(151&lt;=B$7*12,MAX(C163-D163,0),"")</f>
        <v/>
      </c>
      <c r="G163" s="5">
        <f>IF(151&lt;=B$7*12,G162+E163,"")</f>
        <v/>
      </c>
    </row>
    <row r="164">
      <c r="A164" s="15">
        <f>IF(152&lt;=B$7*12,152,"")</f>
        <v/>
      </c>
      <c r="B164" s="15">
        <f>IF(152&lt;=B$7*12,TEXT(DATE(2038,11,1),"mmm yyyy"),"")</f>
        <v/>
      </c>
      <c r="C164" s="16">
        <f>IF(152&lt;=B$7*12,F163,"")</f>
        <v/>
      </c>
      <c r="D164" s="16">
        <f>IF(152&lt;=B$7*12,IFERROR(PMT(B$6/12,B$7*12,-(B4-B5)),0)-E164,"")</f>
        <v/>
      </c>
      <c r="E164" s="16">
        <f>IF(152&lt;=B$7*12,C164*B$6/12,"")</f>
        <v/>
      </c>
      <c r="F164" s="16">
        <f>IF(152&lt;=B$7*12,MAX(C164-D164,0),"")</f>
        <v/>
      </c>
      <c r="G164" s="16">
        <f>IF(152&lt;=B$7*12,G163+E164,"")</f>
        <v/>
      </c>
    </row>
    <row r="165">
      <c r="A165" s="14">
        <f>IF(153&lt;=B$7*12,153,"")</f>
        <v/>
      </c>
      <c r="B165" s="14">
        <f>IF(153&lt;=B$7*12,TEXT(DATE(2038,12,1),"mmm yyyy"),"")</f>
        <v/>
      </c>
      <c r="C165" s="5">
        <f>IF(153&lt;=B$7*12,F164,"")</f>
        <v/>
      </c>
      <c r="D165" s="5">
        <f>IF(153&lt;=B$7*12,IFERROR(PMT(B$6/12,B$7*12,-(B4-B5)),0)-E165,"")</f>
        <v/>
      </c>
      <c r="E165" s="5">
        <f>IF(153&lt;=B$7*12,C165*B$6/12,"")</f>
        <v/>
      </c>
      <c r="F165" s="5">
        <f>IF(153&lt;=B$7*12,MAX(C165-D165,0),"")</f>
        <v/>
      </c>
      <c r="G165" s="5">
        <f>IF(153&lt;=B$7*12,G164+E165,"")</f>
        <v/>
      </c>
    </row>
    <row r="166">
      <c r="A166" s="15">
        <f>IF(154&lt;=B$7*12,154,"")</f>
        <v/>
      </c>
      <c r="B166" s="15">
        <f>IF(154&lt;=B$7*12,TEXT(DATE(2039,1,1),"mmm yyyy"),"")</f>
        <v/>
      </c>
      <c r="C166" s="16">
        <f>IF(154&lt;=B$7*12,F165,"")</f>
        <v/>
      </c>
      <c r="D166" s="16">
        <f>IF(154&lt;=B$7*12,IFERROR(PMT(B$6/12,B$7*12,-(B4-B5)),0)-E166,"")</f>
        <v/>
      </c>
      <c r="E166" s="16">
        <f>IF(154&lt;=B$7*12,C166*B$6/12,"")</f>
        <v/>
      </c>
      <c r="F166" s="16">
        <f>IF(154&lt;=B$7*12,MAX(C166-D166,0),"")</f>
        <v/>
      </c>
      <c r="G166" s="16">
        <f>IF(154&lt;=B$7*12,G165+E166,"")</f>
        <v/>
      </c>
    </row>
    <row r="167">
      <c r="A167" s="14">
        <f>IF(155&lt;=B$7*12,155,"")</f>
        <v/>
      </c>
      <c r="B167" s="14">
        <f>IF(155&lt;=B$7*12,TEXT(DATE(2039,2,1),"mmm yyyy"),"")</f>
        <v/>
      </c>
      <c r="C167" s="5">
        <f>IF(155&lt;=B$7*12,F166,"")</f>
        <v/>
      </c>
      <c r="D167" s="5">
        <f>IF(155&lt;=B$7*12,IFERROR(PMT(B$6/12,B$7*12,-(B4-B5)),0)-E167,"")</f>
        <v/>
      </c>
      <c r="E167" s="5">
        <f>IF(155&lt;=B$7*12,C167*B$6/12,"")</f>
        <v/>
      </c>
      <c r="F167" s="5">
        <f>IF(155&lt;=B$7*12,MAX(C167-D167,0),"")</f>
        <v/>
      </c>
      <c r="G167" s="5">
        <f>IF(155&lt;=B$7*12,G166+E167,"")</f>
        <v/>
      </c>
    </row>
    <row r="168">
      <c r="A168" s="15">
        <f>IF(156&lt;=B$7*12,156,"")</f>
        <v/>
      </c>
      <c r="B168" s="15">
        <f>IF(156&lt;=B$7*12,TEXT(DATE(2039,3,1),"mmm yyyy"),"")</f>
        <v/>
      </c>
      <c r="C168" s="16">
        <f>IF(156&lt;=B$7*12,F167,"")</f>
        <v/>
      </c>
      <c r="D168" s="16">
        <f>IF(156&lt;=B$7*12,IFERROR(PMT(B$6/12,B$7*12,-(B4-B5)),0)-E168,"")</f>
        <v/>
      </c>
      <c r="E168" s="16">
        <f>IF(156&lt;=B$7*12,C168*B$6/12,"")</f>
        <v/>
      </c>
      <c r="F168" s="16">
        <f>IF(156&lt;=B$7*12,MAX(C168-D168,0),"")</f>
        <v/>
      </c>
      <c r="G168" s="16">
        <f>IF(156&lt;=B$7*12,G167+E168,"")</f>
        <v/>
      </c>
    </row>
    <row r="169">
      <c r="A169" s="14">
        <f>IF(157&lt;=B$7*12,157,"")</f>
        <v/>
      </c>
      <c r="B169" s="14">
        <f>IF(157&lt;=B$7*12,TEXT(DATE(2039,4,1),"mmm yyyy"),"")</f>
        <v/>
      </c>
      <c r="C169" s="5">
        <f>IF(157&lt;=B$7*12,F168,"")</f>
        <v/>
      </c>
      <c r="D169" s="5">
        <f>IF(157&lt;=B$7*12,IFERROR(PMT(B$6/12,B$7*12,-(B4-B5)),0)-E169,"")</f>
        <v/>
      </c>
      <c r="E169" s="5">
        <f>IF(157&lt;=B$7*12,C169*B$6/12,"")</f>
        <v/>
      </c>
      <c r="F169" s="5">
        <f>IF(157&lt;=B$7*12,MAX(C169-D169,0),"")</f>
        <v/>
      </c>
      <c r="G169" s="5">
        <f>IF(157&lt;=B$7*12,G168+E169,"")</f>
        <v/>
      </c>
    </row>
    <row r="170">
      <c r="A170" s="15">
        <f>IF(158&lt;=B$7*12,158,"")</f>
        <v/>
      </c>
      <c r="B170" s="15">
        <f>IF(158&lt;=B$7*12,TEXT(DATE(2039,5,1),"mmm yyyy"),"")</f>
        <v/>
      </c>
      <c r="C170" s="16">
        <f>IF(158&lt;=B$7*12,F169,"")</f>
        <v/>
      </c>
      <c r="D170" s="16">
        <f>IF(158&lt;=B$7*12,IFERROR(PMT(B$6/12,B$7*12,-(B4-B5)),0)-E170,"")</f>
        <v/>
      </c>
      <c r="E170" s="16">
        <f>IF(158&lt;=B$7*12,C170*B$6/12,"")</f>
        <v/>
      </c>
      <c r="F170" s="16">
        <f>IF(158&lt;=B$7*12,MAX(C170-D170,0),"")</f>
        <v/>
      </c>
      <c r="G170" s="16">
        <f>IF(158&lt;=B$7*12,G169+E170,"")</f>
        <v/>
      </c>
    </row>
    <row r="171">
      <c r="A171" s="14">
        <f>IF(159&lt;=B$7*12,159,"")</f>
        <v/>
      </c>
      <c r="B171" s="14">
        <f>IF(159&lt;=B$7*12,TEXT(DATE(2039,6,1),"mmm yyyy"),"")</f>
        <v/>
      </c>
      <c r="C171" s="5">
        <f>IF(159&lt;=B$7*12,F170,"")</f>
        <v/>
      </c>
      <c r="D171" s="5">
        <f>IF(159&lt;=B$7*12,IFERROR(PMT(B$6/12,B$7*12,-(B4-B5)),0)-E171,"")</f>
        <v/>
      </c>
      <c r="E171" s="5">
        <f>IF(159&lt;=B$7*12,C171*B$6/12,"")</f>
        <v/>
      </c>
      <c r="F171" s="5">
        <f>IF(159&lt;=B$7*12,MAX(C171-D171,0),"")</f>
        <v/>
      </c>
      <c r="G171" s="5">
        <f>IF(159&lt;=B$7*12,G170+E171,"")</f>
        <v/>
      </c>
    </row>
    <row r="172">
      <c r="A172" s="15">
        <f>IF(160&lt;=B$7*12,160,"")</f>
        <v/>
      </c>
      <c r="B172" s="15">
        <f>IF(160&lt;=B$7*12,TEXT(DATE(2039,7,1),"mmm yyyy"),"")</f>
        <v/>
      </c>
      <c r="C172" s="16">
        <f>IF(160&lt;=B$7*12,F171,"")</f>
        <v/>
      </c>
      <c r="D172" s="16">
        <f>IF(160&lt;=B$7*12,IFERROR(PMT(B$6/12,B$7*12,-(B4-B5)),0)-E172,"")</f>
        <v/>
      </c>
      <c r="E172" s="16">
        <f>IF(160&lt;=B$7*12,C172*B$6/12,"")</f>
        <v/>
      </c>
      <c r="F172" s="16">
        <f>IF(160&lt;=B$7*12,MAX(C172-D172,0),"")</f>
        <v/>
      </c>
      <c r="G172" s="16">
        <f>IF(160&lt;=B$7*12,G171+E172,"")</f>
        <v/>
      </c>
    </row>
    <row r="173">
      <c r="A173" s="14">
        <f>IF(161&lt;=B$7*12,161,"")</f>
        <v/>
      </c>
      <c r="B173" s="14">
        <f>IF(161&lt;=B$7*12,TEXT(DATE(2039,8,1),"mmm yyyy"),"")</f>
        <v/>
      </c>
      <c r="C173" s="5">
        <f>IF(161&lt;=B$7*12,F172,"")</f>
        <v/>
      </c>
      <c r="D173" s="5">
        <f>IF(161&lt;=B$7*12,IFERROR(PMT(B$6/12,B$7*12,-(B4-B5)),0)-E173,"")</f>
        <v/>
      </c>
      <c r="E173" s="5">
        <f>IF(161&lt;=B$7*12,C173*B$6/12,"")</f>
        <v/>
      </c>
      <c r="F173" s="5">
        <f>IF(161&lt;=B$7*12,MAX(C173-D173,0),"")</f>
        <v/>
      </c>
      <c r="G173" s="5">
        <f>IF(161&lt;=B$7*12,G172+E173,"")</f>
        <v/>
      </c>
    </row>
    <row r="174">
      <c r="A174" s="15">
        <f>IF(162&lt;=B$7*12,162,"")</f>
        <v/>
      </c>
      <c r="B174" s="15">
        <f>IF(162&lt;=B$7*12,TEXT(DATE(2039,9,1),"mmm yyyy"),"")</f>
        <v/>
      </c>
      <c r="C174" s="16">
        <f>IF(162&lt;=B$7*12,F173,"")</f>
        <v/>
      </c>
      <c r="D174" s="16">
        <f>IF(162&lt;=B$7*12,IFERROR(PMT(B$6/12,B$7*12,-(B4-B5)),0)-E174,"")</f>
        <v/>
      </c>
      <c r="E174" s="16">
        <f>IF(162&lt;=B$7*12,C174*B$6/12,"")</f>
        <v/>
      </c>
      <c r="F174" s="16">
        <f>IF(162&lt;=B$7*12,MAX(C174-D174,0),"")</f>
        <v/>
      </c>
      <c r="G174" s="16">
        <f>IF(162&lt;=B$7*12,G173+E174,"")</f>
        <v/>
      </c>
    </row>
    <row r="175">
      <c r="A175" s="14">
        <f>IF(163&lt;=B$7*12,163,"")</f>
        <v/>
      </c>
      <c r="B175" s="14">
        <f>IF(163&lt;=B$7*12,TEXT(DATE(2039,10,1),"mmm yyyy"),"")</f>
        <v/>
      </c>
      <c r="C175" s="5">
        <f>IF(163&lt;=B$7*12,F174,"")</f>
        <v/>
      </c>
      <c r="D175" s="5">
        <f>IF(163&lt;=B$7*12,IFERROR(PMT(B$6/12,B$7*12,-(B4-B5)),0)-E175,"")</f>
        <v/>
      </c>
      <c r="E175" s="5">
        <f>IF(163&lt;=B$7*12,C175*B$6/12,"")</f>
        <v/>
      </c>
      <c r="F175" s="5">
        <f>IF(163&lt;=B$7*12,MAX(C175-D175,0),"")</f>
        <v/>
      </c>
      <c r="G175" s="5">
        <f>IF(163&lt;=B$7*12,G174+E175,"")</f>
        <v/>
      </c>
    </row>
    <row r="176">
      <c r="A176" s="15">
        <f>IF(164&lt;=B$7*12,164,"")</f>
        <v/>
      </c>
      <c r="B176" s="15">
        <f>IF(164&lt;=B$7*12,TEXT(DATE(2039,11,1),"mmm yyyy"),"")</f>
        <v/>
      </c>
      <c r="C176" s="16">
        <f>IF(164&lt;=B$7*12,F175,"")</f>
        <v/>
      </c>
      <c r="D176" s="16">
        <f>IF(164&lt;=B$7*12,IFERROR(PMT(B$6/12,B$7*12,-(B4-B5)),0)-E176,"")</f>
        <v/>
      </c>
      <c r="E176" s="16">
        <f>IF(164&lt;=B$7*12,C176*B$6/12,"")</f>
        <v/>
      </c>
      <c r="F176" s="16">
        <f>IF(164&lt;=B$7*12,MAX(C176-D176,0),"")</f>
        <v/>
      </c>
      <c r="G176" s="16">
        <f>IF(164&lt;=B$7*12,G175+E176,"")</f>
        <v/>
      </c>
    </row>
    <row r="177">
      <c r="A177" s="14">
        <f>IF(165&lt;=B$7*12,165,"")</f>
        <v/>
      </c>
      <c r="B177" s="14">
        <f>IF(165&lt;=B$7*12,TEXT(DATE(2039,12,1),"mmm yyyy"),"")</f>
        <v/>
      </c>
      <c r="C177" s="5">
        <f>IF(165&lt;=B$7*12,F176,"")</f>
        <v/>
      </c>
      <c r="D177" s="5">
        <f>IF(165&lt;=B$7*12,IFERROR(PMT(B$6/12,B$7*12,-(B4-B5)),0)-E177,"")</f>
        <v/>
      </c>
      <c r="E177" s="5">
        <f>IF(165&lt;=B$7*12,C177*B$6/12,"")</f>
        <v/>
      </c>
      <c r="F177" s="5">
        <f>IF(165&lt;=B$7*12,MAX(C177-D177,0),"")</f>
        <v/>
      </c>
      <c r="G177" s="5">
        <f>IF(165&lt;=B$7*12,G176+E177,"")</f>
        <v/>
      </c>
    </row>
    <row r="178">
      <c r="A178" s="15">
        <f>IF(166&lt;=B$7*12,166,"")</f>
        <v/>
      </c>
      <c r="B178" s="15">
        <f>IF(166&lt;=B$7*12,TEXT(DATE(2040,1,1),"mmm yyyy"),"")</f>
        <v/>
      </c>
      <c r="C178" s="16">
        <f>IF(166&lt;=B$7*12,F177,"")</f>
        <v/>
      </c>
      <c r="D178" s="16">
        <f>IF(166&lt;=B$7*12,IFERROR(PMT(B$6/12,B$7*12,-(B4-B5)),0)-E178,"")</f>
        <v/>
      </c>
      <c r="E178" s="16">
        <f>IF(166&lt;=B$7*12,C178*B$6/12,"")</f>
        <v/>
      </c>
      <c r="F178" s="16">
        <f>IF(166&lt;=B$7*12,MAX(C178-D178,0),"")</f>
        <v/>
      </c>
      <c r="G178" s="16">
        <f>IF(166&lt;=B$7*12,G177+E178,"")</f>
        <v/>
      </c>
    </row>
    <row r="179">
      <c r="A179" s="14">
        <f>IF(167&lt;=B$7*12,167,"")</f>
        <v/>
      </c>
      <c r="B179" s="14">
        <f>IF(167&lt;=B$7*12,TEXT(DATE(2040,2,1),"mmm yyyy"),"")</f>
        <v/>
      </c>
      <c r="C179" s="5">
        <f>IF(167&lt;=B$7*12,F178,"")</f>
        <v/>
      </c>
      <c r="D179" s="5">
        <f>IF(167&lt;=B$7*12,IFERROR(PMT(B$6/12,B$7*12,-(B4-B5)),0)-E179,"")</f>
        <v/>
      </c>
      <c r="E179" s="5">
        <f>IF(167&lt;=B$7*12,C179*B$6/12,"")</f>
        <v/>
      </c>
      <c r="F179" s="5">
        <f>IF(167&lt;=B$7*12,MAX(C179-D179,0),"")</f>
        <v/>
      </c>
      <c r="G179" s="5">
        <f>IF(167&lt;=B$7*12,G178+E179,"")</f>
        <v/>
      </c>
    </row>
    <row r="180">
      <c r="A180" s="15">
        <f>IF(168&lt;=B$7*12,168,"")</f>
        <v/>
      </c>
      <c r="B180" s="15">
        <f>IF(168&lt;=B$7*12,TEXT(DATE(2040,3,1),"mmm yyyy"),"")</f>
        <v/>
      </c>
      <c r="C180" s="16">
        <f>IF(168&lt;=B$7*12,F179,"")</f>
        <v/>
      </c>
      <c r="D180" s="16">
        <f>IF(168&lt;=B$7*12,IFERROR(PMT(B$6/12,B$7*12,-(B4-B5)),0)-E180,"")</f>
        <v/>
      </c>
      <c r="E180" s="16">
        <f>IF(168&lt;=B$7*12,C180*B$6/12,"")</f>
        <v/>
      </c>
      <c r="F180" s="16">
        <f>IF(168&lt;=B$7*12,MAX(C180-D180,0),"")</f>
        <v/>
      </c>
      <c r="G180" s="16">
        <f>IF(168&lt;=B$7*12,G179+E180,"")</f>
        <v/>
      </c>
    </row>
    <row r="181">
      <c r="A181" s="14">
        <f>IF(169&lt;=B$7*12,169,"")</f>
        <v/>
      </c>
      <c r="B181" s="14">
        <f>IF(169&lt;=B$7*12,TEXT(DATE(2040,4,1),"mmm yyyy"),"")</f>
        <v/>
      </c>
      <c r="C181" s="5">
        <f>IF(169&lt;=B$7*12,F180,"")</f>
        <v/>
      </c>
      <c r="D181" s="5">
        <f>IF(169&lt;=B$7*12,IFERROR(PMT(B$6/12,B$7*12,-(B4-B5)),0)-E181,"")</f>
        <v/>
      </c>
      <c r="E181" s="5">
        <f>IF(169&lt;=B$7*12,C181*B$6/12,"")</f>
        <v/>
      </c>
      <c r="F181" s="5">
        <f>IF(169&lt;=B$7*12,MAX(C181-D181,0),"")</f>
        <v/>
      </c>
      <c r="G181" s="5">
        <f>IF(169&lt;=B$7*12,G180+E181,"")</f>
        <v/>
      </c>
    </row>
    <row r="182">
      <c r="A182" s="15">
        <f>IF(170&lt;=B$7*12,170,"")</f>
        <v/>
      </c>
      <c r="B182" s="15">
        <f>IF(170&lt;=B$7*12,TEXT(DATE(2040,5,1),"mmm yyyy"),"")</f>
        <v/>
      </c>
      <c r="C182" s="16">
        <f>IF(170&lt;=B$7*12,F181,"")</f>
        <v/>
      </c>
      <c r="D182" s="16">
        <f>IF(170&lt;=B$7*12,IFERROR(PMT(B$6/12,B$7*12,-(B4-B5)),0)-E182,"")</f>
        <v/>
      </c>
      <c r="E182" s="16">
        <f>IF(170&lt;=B$7*12,C182*B$6/12,"")</f>
        <v/>
      </c>
      <c r="F182" s="16">
        <f>IF(170&lt;=B$7*12,MAX(C182-D182,0),"")</f>
        <v/>
      </c>
      <c r="G182" s="16">
        <f>IF(170&lt;=B$7*12,G181+E182,"")</f>
        <v/>
      </c>
    </row>
    <row r="183">
      <c r="A183" s="14">
        <f>IF(171&lt;=B$7*12,171,"")</f>
        <v/>
      </c>
      <c r="B183" s="14">
        <f>IF(171&lt;=B$7*12,TEXT(DATE(2040,6,1),"mmm yyyy"),"")</f>
        <v/>
      </c>
      <c r="C183" s="5">
        <f>IF(171&lt;=B$7*12,F182,"")</f>
        <v/>
      </c>
      <c r="D183" s="5">
        <f>IF(171&lt;=B$7*12,IFERROR(PMT(B$6/12,B$7*12,-(B4-B5)),0)-E183,"")</f>
        <v/>
      </c>
      <c r="E183" s="5">
        <f>IF(171&lt;=B$7*12,C183*B$6/12,"")</f>
        <v/>
      </c>
      <c r="F183" s="5">
        <f>IF(171&lt;=B$7*12,MAX(C183-D183,0),"")</f>
        <v/>
      </c>
      <c r="G183" s="5">
        <f>IF(171&lt;=B$7*12,G182+E183,"")</f>
        <v/>
      </c>
    </row>
    <row r="184">
      <c r="A184" s="15">
        <f>IF(172&lt;=B$7*12,172,"")</f>
        <v/>
      </c>
      <c r="B184" s="15">
        <f>IF(172&lt;=B$7*12,TEXT(DATE(2040,7,1),"mmm yyyy"),"")</f>
        <v/>
      </c>
      <c r="C184" s="16">
        <f>IF(172&lt;=B$7*12,F183,"")</f>
        <v/>
      </c>
      <c r="D184" s="16">
        <f>IF(172&lt;=B$7*12,IFERROR(PMT(B$6/12,B$7*12,-(B4-B5)),0)-E184,"")</f>
        <v/>
      </c>
      <c r="E184" s="16">
        <f>IF(172&lt;=B$7*12,C184*B$6/12,"")</f>
        <v/>
      </c>
      <c r="F184" s="16">
        <f>IF(172&lt;=B$7*12,MAX(C184-D184,0),"")</f>
        <v/>
      </c>
      <c r="G184" s="16">
        <f>IF(172&lt;=B$7*12,G183+E184,"")</f>
        <v/>
      </c>
    </row>
    <row r="185">
      <c r="A185" s="14">
        <f>IF(173&lt;=B$7*12,173,"")</f>
        <v/>
      </c>
      <c r="B185" s="14">
        <f>IF(173&lt;=B$7*12,TEXT(DATE(2040,8,1),"mmm yyyy"),"")</f>
        <v/>
      </c>
      <c r="C185" s="5">
        <f>IF(173&lt;=B$7*12,F184,"")</f>
        <v/>
      </c>
      <c r="D185" s="5">
        <f>IF(173&lt;=B$7*12,IFERROR(PMT(B$6/12,B$7*12,-(B4-B5)),0)-E185,"")</f>
        <v/>
      </c>
      <c r="E185" s="5">
        <f>IF(173&lt;=B$7*12,C185*B$6/12,"")</f>
        <v/>
      </c>
      <c r="F185" s="5">
        <f>IF(173&lt;=B$7*12,MAX(C185-D185,0),"")</f>
        <v/>
      </c>
      <c r="G185" s="5">
        <f>IF(173&lt;=B$7*12,G184+E185,"")</f>
        <v/>
      </c>
    </row>
    <row r="186">
      <c r="A186" s="15">
        <f>IF(174&lt;=B$7*12,174,"")</f>
        <v/>
      </c>
      <c r="B186" s="15">
        <f>IF(174&lt;=B$7*12,TEXT(DATE(2040,9,1),"mmm yyyy"),"")</f>
        <v/>
      </c>
      <c r="C186" s="16">
        <f>IF(174&lt;=B$7*12,F185,"")</f>
        <v/>
      </c>
      <c r="D186" s="16">
        <f>IF(174&lt;=B$7*12,IFERROR(PMT(B$6/12,B$7*12,-(B4-B5)),0)-E186,"")</f>
        <v/>
      </c>
      <c r="E186" s="16">
        <f>IF(174&lt;=B$7*12,C186*B$6/12,"")</f>
        <v/>
      </c>
      <c r="F186" s="16">
        <f>IF(174&lt;=B$7*12,MAX(C186-D186,0),"")</f>
        <v/>
      </c>
      <c r="G186" s="16">
        <f>IF(174&lt;=B$7*12,G185+E186,"")</f>
        <v/>
      </c>
    </row>
    <row r="187">
      <c r="A187" s="14">
        <f>IF(175&lt;=B$7*12,175,"")</f>
        <v/>
      </c>
      <c r="B187" s="14">
        <f>IF(175&lt;=B$7*12,TEXT(DATE(2040,10,1),"mmm yyyy"),"")</f>
        <v/>
      </c>
      <c r="C187" s="5">
        <f>IF(175&lt;=B$7*12,F186,"")</f>
        <v/>
      </c>
      <c r="D187" s="5">
        <f>IF(175&lt;=B$7*12,IFERROR(PMT(B$6/12,B$7*12,-(B4-B5)),0)-E187,"")</f>
        <v/>
      </c>
      <c r="E187" s="5">
        <f>IF(175&lt;=B$7*12,C187*B$6/12,"")</f>
        <v/>
      </c>
      <c r="F187" s="5">
        <f>IF(175&lt;=B$7*12,MAX(C187-D187,0),"")</f>
        <v/>
      </c>
      <c r="G187" s="5">
        <f>IF(175&lt;=B$7*12,G186+E187,"")</f>
        <v/>
      </c>
    </row>
    <row r="188">
      <c r="A188" s="15">
        <f>IF(176&lt;=B$7*12,176,"")</f>
        <v/>
      </c>
      <c r="B188" s="15">
        <f>IF(176&lt;=B$7*12,TEXT(DATE(2040,11,1),"mmm yyyy"),"")</f>
        <v/>
      </c>
      <c r="C188" s="16">
        <f>IF(176&lt;=B$7*12,F187,"")</f>
        <v/>
      </c>
      <c r="D188" s="16">
        <f>IF(176&lt;=B$7*12,IFERROR(PMT(B$6/12,B$7*12,-(B4-B5)),0)-E188,"")</f>
        <v/>
      </c>
      <c r="E188" s="16">
        <f>IF(176&lt;=B$7*12,C188*B$6/12,"")</f>
        <v/>
      </c>
      <c r="F188" s="16">
        <f>IF(176&lt;=B$7*12,MAX(C188-D188,0),"")</f>
        <v/>
      </c>
      <c r="G188" s="16">
        <f>IF(176&lt;=B$7*12,G187+E188,"")</f>
        <v/>
      </c>
    </row>
    <row r="189">
      <c r="A189" s="14">
        <f>IF(177&lt;=B$7*12,177,"")</f>
        <v/>
      </c>
      <c r="B189" s="14">
        <f>IF(177&lt;=B$7*12,TEXT(DATE(2040,12,1),"mmm yyyy"),"")</f>
        <v/>
      </c>
      <c r="C189" s="5">
        <f>IF(177&lt;=B$7*12,F188,"")</f>
        <v/>
      </c>
      <c r="D189" s="5">
        <f>IF(177&lt;=B$7*12,IFERROR(PMT(B$6/12,B$7*12,-(B4-B5)),0)-E189,"")</f>
        <v/>
      </c>
      <c r="E189" s="5">
        <f>IF(177&lt;=B$7*12,C189*B$6/12,"")</f>
        <v/>
      </c>
      <c r="F189" s="5">
        <f>IF(177&lt;=B$7*12,MAX(C189-D189,0),"")</f>
        <v/>
      </c>
      <c r="G189" s="5">
        <f>IF(177&lt;=B$7*12,G188+E189,"")</f>
        <v/>
      </c>
    </row>
    <row r="190">
      <c r="A190" s="15">
        <f>IF(178&lt;=B$7*12,178,"")</f>
        <v/>
      </c>
      <c r="B190" s="15">
        <f>IF(178&lt;=B$7*12,TEXT(DATE(2041,1,1),"mmm yyyy"),"")</f>
        <v/>
      </c>
      <c r="C190" s="16">
        <f>IF(178&lt;=B$7*12,F189,"")</f>
        <v/>
      </c>
      <c r="D190" s="16">
        <f>IF(178&lt;=B$7*12,IFERROR(PMT(B$6/12,B$7*12,-(B4-B5)),0)-E190,"")</f>
        <v/>
      </c>
      <c r="E190" s="16">
        <f>IF(178&lt;=B$7*12,C190*B$6/12,"")</f>
        <v/>
      </c>
      <c r="F190" s="16">
        <f>IF(178&lt;=B$7*12,MAX(C190-D190,0),"")</f>
        <v/>
      </c>
      <c r="G190" s="16">
        <f>IF(178&lt;=B$7*12,G189+E190,"")</f>
        <v/>
      </c>
    </row>
    <row r="191">
      <c r="A191" s="14">
        <f>IF(179&lt;=B$7*12,179,"")</f>
        <v/>
      </c>
      <c r="B191" s="14">
        <f>IF(179&lt;=B$7*12,TEXT(DATE(2041,2,1),"mmm yyyy"),"")</f>
        <v/>
      </c>
      <c r="C191" s="5">
        <f>IF(179&lt;=B$7*12,F190,"")</f>
        <v/>
      </c>
      <c r="D191" s="5">
        <f>IF(179&lt;=B$7*12,IFERROR(PMT(B$6/12,B$7*12,-(B4-B5)),0)-E191,"")</f>
        <v/>
      </c>
      <c r="E191" s="5">
        <f>IF(179&lt;=B$7*12,C191*B$6/12,"")</f>
        <v/>
      </c>
      <c r="F191" s="5">
        <f>IF(179&lt;=B$7*12,MAX(C191-D191,0),"")</f>
        <v/>
      </c>
      <c r="G191" s="5">
        <f>IF(179&lt;=B$7*12,G190+E191,"")</f>
        <v/>
      </c>
    </row>
    <row r="192">
      <c r="A192" s="15">
        <f>IF(180&lt;=B$7*12,180,"")</f>
        <v/>
      </c>
      <c r="B192" s="15">
        <f>IF(180&lt;=B$7*12,TEXT(DATE(2041,3,1),"mmm yyyy"),"")</f>
        <v/>
      </c>
      <c r="C192" s="16">
        <f>IF(180&lt;=B$7*12,F191,"")</f>
        <v/>
      </c>
      <c r="D192" s="16">
        <f>IF(180&lt;=B$7*12,IFERROR(PMT(B$6/12,B$7*12,-(B4-B5)),0)-E192,"")</f>
        <v/>
      </c>
      <c r="E192" s="16">
        <f>IF(180&lt;=B$7*12,C192*B$6/12,"")</f>
        <v/>
      </c>
      <c r="F192" s="16">
        <f>IF(180&lt;=B$7*12,MAX(C192-D192,0),"")</f>
        <v/>
      </c>
      <c r="G192" s="16">
        <f>IF(180&lt;=B$7*12,G191+E192,"")</f>
        <v/>
      </c>
    </row>
    <row r="193">
      <c r="A193" s="14">
        <f>IF(181&lt;=B$7*12,181,"")</f>
        <v/>
      </c>
      <c r="B193" s="14">
        <f>IF(181&lt;=B$7*12,TEXT(DATE(2041,4,1),"mmm yyyy"),"")</f>
        <v/>
      </c>
      <c r="C193" s="5">
        <f>IF(181&lt;=B$7*12,F192,"")</f>
        <v/>
      </c>
      <c r="D193" s="5">
        <f>IF(181&lt;=B$7*12,IFERROR(PMT(B$6/12,B$7*12,-(B4-B5)),0)-E193,"")</f>
        <v/>
      </c>
      <c r="E193" s="5">
        <f>IF(181&lt;=B$7*12,C193*B$6/12,"")</f>
        <v/>
      </c>
      <c r="F193" s="5">
        <f>IF(181&lt;=B$7*12,MAX(C193-D193,0),"")</f>
        <v/>
      </c>
      <c r="G193" s="5">
        <f>IF(181&lt;=B$7*12,G192+E193,"")</f>
        <v/>
      </c>
    </row>
    <row r="194">
      <c r="A194" s="15">
        <f>IF(182&lt;=B$7*12,182,"")</f>
        <v/>
      </c>
      <c r="B194" s="15">
        <f>IF(182&lt;=B$7*12,TEXT(DATE(2041,5,1),"mmm yyyy"),"")</f>
        <v/>
      </c>
      <c r="C194" s="16">
        <f>IF(182&lt;=B$7*12,F193,"")</f>
        <v/>
      </c>
      <c r="D194" s="16">
        <f>IF(182&lt;=B$7*12,IFERROR(PMT(B$6/12,B$7*12,-(B4-B5)),0)-E194,"")</f>
        <v/>
      </c>
      <c r="E194" s="16">
        <f>IF(182&lt;=B$7*12,C194*B$6/12,"")</f>
        <v/>
      </c>
      <c r="F194" s="16">
        <f>IF(182&lt;=B$7*12,MAX(C194-D194,0),"")</f>
        <v/>
      </c>
      <c r="G194" s="16">
        <f>IF(182&lt;=B$7*12,G193+E194,"")</f>
        <v/>
      </c>
    </row>
    <row r="195">
      <c r="A195" s="14">
        <f>IF(183&lt;=B$7*12,183,"")</f>
        <v/>
      </c>
      <c r="B195" s="14">
        <f>IF(183&lt;=B$7*12,TEXT(DATE(2041,6,1),"mmm yyyy"),"")</f>
        <v/>
      </c>
      <c r="C195" s="5">
        <f>IF(183&lt;=B$7*12,F194,"")</f>
        <v/>
      </c>
      <c r="D195" s="5">
        <f>IF(183&lt;=B$7*12,IFERROR(PMT(B$6/12,B$7*12,-(B4-B5)),0)-E195,"")</f>
        <v/>
      </c>
      <c r="E195" s="5">
        <f>IF(183&lt;=B$7*12,C195*B$6/12,"")</f>
        <v/>
      </c>
      <c r="F195" s="5">
        <f>IF(183&lt;=B$7*12,MAX(C195-D195,0),"")</f>
        <v/>
      </c>
      <c r="G195" s="5">
        <f>IF(183&lt;=B$7*12,G194+E195,"")</f>
        <v/>
      </c>
    </row>
    <row r="196">
      <c r="A196" s="15">
        <f>IF(184&lt;=B$7*12,184,"")</f>
        <v/>
      </c>
      <c r="B196" s="15">
        <f>IF(184&lt;=B$7*12,TEXT(DATE(2041,7,1),"mmm yyyy"),"")</f>
        <v/>
      </c>
      <c r="C196" s="16">
        <f>IF(184&lt;=B$7*12,F195,"")</f>
        <v/>
      </c>
      <c r="D196" s="16">
        <f>IF(184&lt;=B$7*12,IFERROR(PMT(B$6/12,B$7*12,-(B4-B5)),0)-E196,"")</f>
        <v/>
      </c>
      <c r="E196" s="16">
        <f>IF(184&lt;=B$7*12,C196*B$6/12,"")</f>
        <v/>
      </c>
      <c r="F196" s="16">
        <f>IF(184&lt;=B$7*12,MAX(C196-D196,0),"")</f>
        <v/>
      </c>
      <c r="G196" s="16">
        <f>IF(184&lt;=B$7*12,G195+E196,"")</f>
        <v/>
      </c>
    </row>
    <row r="197">
      <c r="A197" s="14">
        <f>IF(185&lt;=B$7*12,185,"")</f>
        <v/>
      </c>
      <c r="B197" s="14">
        <f>IF(185&lt;=B$7*12,TEXT(DATE(2041,8,1),"mmm yyyy"),"")</f>
        <v/>
      </c>
      <c r="C197" s="5">
        <f>IF(185&lt;=B$7*12,F196,"")</f>
        <v/>
      </c>
      <c r="D197" s="5">
        <f>IF(185&lt;=B$7*12,IFERROR(PMT(B$6/12,B$7*12,-(B4-B5)),0)-E197,"")</f>
        <v/>
      </c>
      <c r="E197" s="5">
        <f>IF(185&lt;=B$7*12,C197*B$6/12,"")</f>
        <v/>
      </c>
      <c r="F197" s="5">
        <f>IF(185&lt;=B$7*12,MAX(C197-D197,0),"")</f>
        <v/>
      </c>
      <c r="G197" s="5">
        <f>IF(185&lt;=B$7*12,G196+E197,"")</f>
        <v/>
      </c>
    </row>
    <row r="198">
      <c r="A198" s="15">
        <f>IF(186&lt;=B$7*12,186,"")</f>
        <v/>
      </c>
      <c r="B198" s="15">
        <f>IF(186&lt;=B$7*12,TEXT(DATE(2041,9,1),"mmm yyyy"),"")</f>
        <v/>
      </c>
      <c r="C198" s="16">
        <f>IF(186&lt;=B$7*12,F197,"")</f>
        <v/>
      </c>
      <c r="D198" s="16">
        <f>IF(186&lt;=B$7*12,IFERROR(PMT(B$6/12,B$7*12,-(B4-B5)),0)-E198,"")</f>
        <v/>
      </c>
      <c r="E198" s="16">
        <f>IF(186&lt;=B$7*12,C198*B$6/12,"")</f>
        <v/>
      </c>
      <c r="F198" s="16">
        <f>IF(186&lt;=B$7*12,MAX(C198-D198,0),"")</f>
        <v/>
      </c>
      <c r="G198" s="16">
        <f>IF(186&lt;=B$7*12,G197+E198,"")</f>
        <v/>
      </c>
    </row>
    <row r="199">
      <c r="A199" s="14">
        <f>IF(187&lt;=B$7*12,187,"")</f>
        <v/>
      </c>
      <c r="B199" s="14">
        <f>IF(187&lt;=B$7*12,TEXT(DATE(2041,10,1),"mmm yyyy"),"")</f>
        <v/>
      </c>
      <c r="C199" s="5">
        <f>IF(187&lt;=B$7*12,F198,"")</f>
        <v/>
      </c>
      <c r="D199" s="5">
        <f>IF(187&lt;=B$7*12,IFERROR(PMT(B$6/12,B$7*12,-(B4-B5)),0)-E199,"")</f>
        <v/>
      </c>
      <c r="E199" s="5">
        <f>IF(187&lt;=B$7*12,C199*B$6/12,"")</f>
        <v/>
      </c>
      <c r="F199" s="5">
        <f>IF(187&lt;=B$7*12,MAX(C199-D199,0),"")</f>
        <v/>
      </c>
      <c r="G199" s="5">
        <f>IF(187&lt;=B$7*12,G198+E199,"")</f>
        <v/>
      </c>
    </row>
    <row r="200">
      <c r="A200" s="15">
        <f>IF(188&lt;=B$7*12,188,"")</f>
        <v/>
      </c>
      <c r="B200" s="15">
        <f>IF(188&lt;=B$7*12,TEXT(DATE(2041,11,1),"mmm yyyy"),"")</f>
        <v/>
      </c>
      <c r="C200" s="16">
        <f>IF(188&lt;=B$7*12,F199,"")</f>
        <v/>
      </c>
      <c r="D200" s="16">
        <f>IF(188&lt;=B$7*12,IFERROR(PMT(B$6/12,B$7*12,-(B4-B5)),0)-E200,"")</f>
        <v/>
      </c>
      <c r="E200" s="16">
        <f>IF(188&lt;=B$7*12,C200*B$6/12,"")</f>
        <v/>
      </c>
      <c r="F200" s="16">
        <f>IF(188&lt;=B$7*12,MAX(C200-D200,0),"")</f>
        <v/>
      </c>
      <c r="G200" s="16">
        <f>IF(188&lt;=B$7*12,G199+E200,"")</f>
        <v/>
      </c>
    </row>
    <row r="201">
      <c r="A201" s="14">
        <f>IF(189&lt;=B$7*12,189,"")</f>
        <v/>
      </c>
      <c r="B201" s="14">
        <f>IF(189&lt;=B$7*12,TEXT(DATE(2041,12,1),"mmm yyyy"),"")</f>
        <v/>
      </c>
      <c r="C201" s="5">
        <f>IF(189&lt;=B$7*12,F200,"")</f>
        <v/>
      </c>
      <c r="D201" s="5">
        <f>IF(189&lt;=B$7*12,IFERROR(PMT(B$6/12,B$7*12,-(B4-B5)),0)-E201,"")</f>
        <v/>
      </c>
      <c r="E201" s="5">
        <f>IF(189&lt;=B$7*12,C201*B$6/12,"")</f>
        <v/>
      </c>
      <c r="F201" s="5">
        <f>IF(189&lt;=B$7*12,MAX(C201-D201,0),"")</f>
        <v/>
      </c>
      <c r="G201" s="5">
        <f>IF(189&lt;=B$7*12,G200+E201,"")</f>
        <v/>
      </c>
    </row>
    <row r="202">
      <c r="A202" s="15">
        <f>IF(190&lt;=B$7*12,190,"")</f>
        <v/>
      </c>
      <c r="B202" s="15">
        <f>IF(190&lt;=B$7*12,TEXT(DATE(2042,1,1),"mmm yyyy"),"")</f>
        <v/>
      </c>
      <c r="C202" s="16">
        <f>IF(190&lt;=B$7*12,F201,"")</f>
        <v/>
      </c>
      <c r="D202" s="16">
        <f>IF(190&lt;=B$7*12,IFERROR(PMT(B$6/12,B$7*12,-(B4-B5)),0)-E202,"")</f>
        <v/>
      </c>
      <c r="E202" s="16">
        <f>IF(190&lt;=B$7*12,C202*B$6/12,"")</f>
        <v/>
      </c>
      <c r="F202" s="16">
        <f>IF(190&lt;=B$7*12,MAX(C202-D202,0),"")</f>
        <v/>
      </c>
      <c r="G202" s="16">
        <f>IF(190&lt;=B$7*12,G201+E202,"")</f>
        <v/>
      </c>
    </row>
    <row r="203">
      <c r="A203" s="14">
        <f>IF(191&lt;=B$7*12,191,"")</f>
        <v/>
      </c>
      <c r="B203" s="14">
        <f>IF(191&lt;=B$7*12,TEXT(DATE(2042,2,1),"mmm yyyy"),"")</f>
        <v/>
      </c>
      <c r="C203" s="5">
        <f>IF(191&lt;=B$7*12,F202,"")</f>
        <v/>
      </c>
      <c r="D203" s="5">
        <f>IF(191&lt;=B$7*12,IFERROR(PMT(B$6/12,B$7*12,-(B4-B5)),0)-E203,"")</f>
        <v/>
      </c>
      <c r="E203" s="5">
        <f>IF(191&lt;=B$7*12,C203*B$6/12,"")</f>
        <v/>
      </c>
      <c r="F203" s="5">
        <f>IF(191&lt;=B$7*12,MAX(C203-D203,0),"")</f>
        <v/>
      </c>
      <c r="G203" s="5">
        <f>IF(191&lt;=B$7*12,G202+E203,"")</f>
        <v/>
      </c>
    </row>
    <row r="204">
      <c r="A204" s="15">
        <f>IF(192&lt;=B$7*12,192,"")</f>
        <v/>
      </c>
      <c r="B204" s="15">
        <f>IF(192&lt;=B$7*12,TEXT(DATE(2042,3,1),"mmm yyyy"),"")</f>
        <v/>
      </c>
      <c r="C204" s="16">
        <f>IF(192&lt;=B$7*12,F203,"")</f>
        <v/>
      </c>
      <c r="D204" s="16">
        <f>IF(192&lt;=B$7*12,IFERROR(PMT(B$6/12,B$7*12,-(B4-B5)),0)-E204,"")</f>
        <v/>
      </c>
      <c r="E204" s="16">
        <f>IF(192&lt;=B$7*12,C204*B$6/12,"")</f>
        <v/>
      </c>
      <c r="F204" s="16">
        <f>IF(192&lt;=B$7*12,MAX(C204-D204,0),"")</f>
        <v/>
      </c>
      <c r="G204" s="16">
        <f>IF(192&lt;=B$7*12,G203+E204,"")</f>
        <v/>
      </c>
    </row>
    <row r="205">
      <c r="A205" s="14">
        <f>IF(193&lt;=B$7*12,193,"")</f>
        <v/>
      </c>
      <c r="B205" s="14">
        <f>IF(193&lt;=B$7*12,TEXT(DATE(2042,4,1),"mmm yyyy"),"")</f>
        <v/>
      </c>
      <c r="C205" s="5">
        <f>IF(193&lt;=B$7*12,F204,"")</f>
        <v/>
      </c>
      <c r="D205" s="5">
        <f>IF(193&lt;=B$7*12,IFERROR(PMT(B$6/12,B$7*12,-(B4-B5)),0)-E205,"")</f>
        <v/>
      </c>
      <c r="E205" s="5">
        <f>IF(193&lt;=B$7*12,C205*B$6/12,"")</f>
        <v/>
      </c>
      <c r="F205" s="5">
        <f>IF(193&lt;=B$7*12,MAX(C205-D205,0),"")</f>
        <v/>
      </c>
      <c r="G205" s="5">
        <f>IF(193&lt;=B$7*12,G204+E205,"")</f>
        <v/>
      </c>
    </row>
    <row r="206">
      <c r="A206" s="15">
        <f>IF(194&lt;=B$7*12,194,"")</f>
        <v/>
      </c>
      <c r="B206" s="15">
        <f>IF(194&lt;=B$7*12,TEXT(DATE(2042,5,1),"mmm yyyy"),"")</f>
        <v/>
      </c>
      <c r="C206" s="16">
        <f>IF(194&lt;=B$7*12,F205,"")</f>
        <v/>
      </c>
      <c r="D206" s="16">
        <f>IF(194&lt;=B$7*12,IFERROR(PMT(B$6/12,B$7*12,-(B4-B5)),0)-E206,"")</f>
        <v/>
      </c>
      <c r="E206" s="16">
        <f>IF(194&lt;=B$7*12,C206*B$6/12,"")</f>
        <v/>
      </c>
      <c r="F206" s="16">
        <f>IF(194&lt;=B$7*12,MAX(C206-D206,0),"")</f>
        <v/>
      </c>
      <c r="G206" s="16">
        <f>IF(194&lt;=B$7*12,G205+E206,"")</f>
        <v/>
      </c>
    </row>
    <row r="207">
      <c r="A207" s="14">
        <f>IF(195&lt;=B$7*12,195,"")</f>
        <v/>
      </c>
      <c r="B207" s="14">
        <f>IF(195&lt;=B$7*12,TEXT(DATE(2042,6,1),"mmm yyyy"),"")</f>
        <v/>
      </c>
      <c r="C207" s="5">
        <f>IF(195&lt;=B$7*12,F206,"")</f>
        <v/>
      </c>
      <c r="D207" s="5">
        <f>IF(195&lt;=B$7*12,IFERROR(PMT(B$6/12,B$7*12,-(B4-B5)),0)-E207,"")</f>
        <v/>
      </c>
      <c r="E207" s="5">
        <f>IF(195&lt;=B$7*12,C207*B$6/12,"")</f>
        <v/>
      </c>
      <c r="F207" s="5">
        <f>IF(195&lt;=B$7*12,MAX(C207-D207,0),"")</f>
        <v/>
      </c>
      <c r="G207" s="5">
        <f>IF(195&lt;=B$7*12,G206+E207,"")</f>
        <v/>
      </c>
    </row>
    <row r="208">
      <c r="A208" s="15">
        <f>IF(196&lt;=B$7*12,196,"")</f>
        <v/>
      </c>
      <c r="B208" s="15">
        <f>IF(196&lt;=B$7*12,TEXT(DATE(2042,7,1),"mmm yyyy"),"")</f>
        <v/>
      </c>
      <c r="C208" s="16">
        <f>IF(196&lt;=B$7*12,F207,"")</f>
        <v/>
      </c>
      <c r="D208" s="16">
        <f>IF(196&lt;=B$7*12,IFERROR(PMT(B$6/12,B$7*12,-(B4-B5)),0)-E208,"")</f>
        <v/>
      </c>
      <c r="E208" s="16">
        <f>IF(196&lt;=B$7*12,C208*B$6/12,"")</f>
        <v/>
      </c>
      <c r="F208" s="16">
        <f>IF(196&lt;=B$7*12,MAX(C208-D208,0),"")</f>
        <v/>
      </c>
      <c r="G208" s="16">
        <f>IF(196&lt;=B$7*12,G207+E208,"")</f>
        <v/>
      </c>
    </row>
    <row r="209">
      <c r="A209" s="14">
        <f>IF(197&lt;=B$7*12,197,"")</f>
        <v/>
      </c>
      <c r="B209" s="14">
        <f>IF(197&lt;=B$7*12,TEXT(DATE(2042,8,1),"mmm yyyy"),"")</f>
        <v/>
      </c>
      <c r="C209" s="5">
        <f>IF(197&lt;=B$7*12,F208,"")</f>
        <v/>
      </c>
      <c r="D209" s="5">
        <f>IF(197&lt;=B$7*12,IFERROR(PMT(B$6/12,B$7*12,-(B4-B5)),0)-E209,"")</f>
        <v/>
      </c>
      <c r="E209" s="5">
        <f>IF(197&lt;=B$7*12,C209*B$6/12,"")</f>
        <v/>
      </c>
      <c r="F209" s="5">
        <f>IF(197&lt;=B$7*12,MAX(C209-D209,0),"")</f>
        <v/>
      </c>
      <c r="G209" s="5">
        <f>IF(197&lt;=B$7*12,G208+E209,"")</f>
        <v/>
      </c>
    </row>
    <row r="210">
      <c r="A210" s="15">
        <f>IF(198&lt;=B$7*12,198,"")</f>
        <v/>
      </c>
      <c r="B210" s="15">
        <f>IF(198&lt;=B$7*12,TEXT(DATE(2042,9,1),"mmm yyyy"),"")</f>
        <v/>
      </c>
      <c r="C210" s="16">
        <f>IF(198&lt;=B$7*12,F209,"")</f>
        <v/>
      </c>
      <c r="D210" s="16">
        <f>IF(198&lt;=B$7*12,IFERROR(PMT(B$6/12,B$7*12,-(B4-B5)),0)-E210,"")</f>
        <v/>
      </c>
      <c r="E210" s="16">
        <f>IF(198&lt;=B$7*12,C210*B$6/12,"")</f>
        <v/>
      </c>
      <c r="F210" s="16">
        <f>IF(198&lt;=B$7*12,MAX(C210-D210,0),"")</f>
        <v/>
      </c>
      <c r="G210" s="16">
        <f>IF(198&lt;=B$7*12,G209+E210,"")</f>
        <v/>
      </c>
    </row>
    <row r="211">
      <c r="A211" s="14">
        <f>IF(199&lt;=B$7*12,199,"")</f>
        <v/>
      </c>
      <c r="B211" s="14">
        <f>IF(199&lt;=B$7*12,TEXT(DATE(2042,10,1),"mmm yyyy"),"")</f>
        <v/>
      </c>
      <c r="C211" s="5">
        <f>IF(199&lt;=B$7*12,F210,"")</f>
        <v/>
      </c>
      <c r="D211" s="5">
        <f>IF(199&lt;=B$7*12,IFERROR(PMT(B$6/12,B$7*12,-(B4-B5)),0)-E211,"")</f>
        <v/>
      </c>
      <c r="E211" s="5">
        <f>IF(199&lt;=B$7*12,C211*B$6/12,"")</f>
        <v/>
      </c>
      <c r="F211" s="5">
        <f>IF(199&lt;=B$7*12,MAX(C211-D211,0),"")</f>
        <v/>
      </c>
      <c r="G211" s="5">
        <f>IF(199&lt;=B$7*12,G210+E211,"")</f>
        <v/>
      </c>
    </row>
    <row r="212">
      <c r="A212" s="15">
        <f>IF(200&lt;=B$7*12,200,"")</f>
        <v/>
      </c>
      <c r="B212" s="15">
        <f>IF(200&lt;=B$7*12,TEXT(DATE(2042,11,1),"mmm yyyy"),"")</f>
        <v/>
      </c>
      <c r="C212" s="16">
        <f>IF(200&lt;=B$7*12,F211,"")</f>
        <v/>
      </c>
      <c r="D212" s="16">
        <f>IF(200&lt;=B$7*12,IFERROR(PMT(B$6/12,B$7*12,-(B4-B5)),0)-E212,"")</f>
        <v/>
      </c>
      <c r="E212" s="16">
        <f>IF(200&lt;=B$7*12,C212*B$6/12,"")</f>
        <v/>
      </c>
      <c r="F212" s="16">
        <f>IF(200&lt;=B$7*12,MAX(C212-D212,0),"")</f>
        <v/>
      </c>
      <c r="G212" s="16">
        <f>IF(200&lt;=B$7*12,G211+E212,"")</f>
        <v/>
      </c>
    </row>
    <row r="213">
      <c r="A213" s="14">
        <f>IF(201&lt;=B$7*12,201,"")</f>
        <v/>
      </c>
      <c r="B213" s="14">
        <f>IF(201&lt;=B$7*12,TEXT(DATE(2042,12,1),"mmm yyyy"),"")</f>
        <v/>
      </c>
      <c r="C213" s="5">
        <f>IF(201&lt;=B$7*12,F212,"")</f>
        <v/>
      </c>
      <c r="D213" s="5">
        <f>IF(201&lt;=B$7*12,IFERROR(PMT(B$6/12,B$7*12,-(B4-B5)),0)-E213,"")</f>
        <v/>
      </c>
      <c r="E213" s="5">
        <f>IF(201&lt;=B$7*12,C213*B$6/12,"")</f>
        <v/>
      </c>
      <c r="F213" s="5">
        <f>IF(201&lt;=B$7*12,MAX(C213-D213,0),"")</f>
        <v/>
      </c>
      <c r="G213" s="5">
        <f>IF(201&lt;=B$7*12,G212+E213,"")</f>
        <v/>
      </c>
    </row>
    <row r="214">
      <c r="A214" s="15">
        <f>IF(202&lt;=B$7*12,202,"")</f>
        <v/>
      </c>
      <c r="B214" s="15">
        <f>IF(202&lt;=B$7*12,TEXT(DATE(2043,1,1),"mmm yyyy"),"")</f>
        <v/>
      </c>
      <c r="C214" s="16">
        <f>IF(202&lt;=B$7*12,F213,"")</f>
        <v/>
      </c>
      <c r="D214" s="16">
        <f>IF(202&lt;=B$7*12,IFERROR(PMT(B$6/12,B$7*12,-(B4-B5)),0)-E214,"")</f>
        <v/>
      </c>
      <c r="E214" s="16">
        <f>IF(202&lt;=B$7*12,C214*B$6/12,"")</f>
        <v/>
      </c>
      <c r="F214" s="16">
        <f>IF(202&lt;=B$7*12,MAX(C214-D214,0),"")</f>
        <v/>
      </c>
      <c r="G214" s="16">
        <f>IF(202&lt;=B$7*12,G213+E214,"")</f>
        <v/>
      </c>
    </row>
    <row r="215">
      <c r="A215" s="14">
        <f>IF(203&lt;=B$7*12,203,"")</f>
        <v/>
      </c>
      <c r="B215" s="14">
        <f>IF(203&lt;=B$7*12,TEXT(DATE(2043,2,1),"mmm yyyy"),"")</f>
        <v/>
      </c>
      <c r="C215" s="5">
        <f>IF(203&lt;=B$7*12,F214,"")</f>
        <v/>
      </c>
      <c r="D215" s="5">
        <f>IF(203&lt;=B$7*12,IFERROR(PMT(B$6/12,B$7*12,-(B4-B5)),0)-E215,"")</f>
        <v/>
      </c>
      <c r="E215" s="5">
        <f>IF(203&lt;=B$7*12,C215*B$6/12,"")</f>
        <v/>
      </c>
      <c r="F215" s="5">
        <f>IF(203&lt;=B$7*12,MAX(C215-D215,0),"")</f>
        <v/>
      </c>
      <c r="G215" s="5">
        <f>IF(203&lt;=B$7*12,G214+E215,"")</f>
        <v/>
      </c>
    </row>
    <row r="216">
      <c r="A216" s="15">
        <f>IF(204&lt;=B$7*12,204,"")</f>
        <v/>
      </c>
      <c r="B216" s="15">
        <f>IF(204&lt;=B$7*12,TEXT(DATE(2043,3,1),"mmm yyyy"),"")</f>
        <v/>
      </c>
      <c r="C216" s="16">
        <f>IF(204&lt;=B$7*12,F215,"")</f>
        <v/>
      </c>
      <c r="D216" s="16">
        <f>IF(204&lt;=B$7*12,IFERROR(PMT(B$6/12,B$7*12,-(B4-B5)),0)-E216,"")</f>
        <v/>
      </c>
      <c r="E216" s="16">
        <f>IF(204&lt;=B$7*12,C216*B$6/12,"")</f>
        <v/>
      </c>
      <c r="F216" s="16">
        <f>IF(204&lt;=B$7*12,MAX(C216-D216,0),"")</f>
        <v/>
      </c>
      <c r="G216" s="16">
        <f>IF(204&lt;=B$7*12,G215+E216,"")</f>
        <v/>
      </c>
    </row>
    <row r="217">
      <c r="A217" s="14">
        <f>IF(205&lt;=B$7*12,205,"")</f>
        <v/>
      </c>
      <c r="B217" s="14">
        <f>IF(205&lt;=B$7*12,TEXT(DATE(2043,4,1),"mmm yyyy"),"")</f>
        <v/>
      </c>
      <c r="C217" s="5">
        <f>IF(205&lt;=B$7*12,F216,"")</f>
        <v/>
      </c>
      <c r="D217" s="5">
        <f>IF(205&lt;=B$7*12,IFERROR(PMT(B$6/12,B$7*12,-(B4-B5)),0)-E217,"")</f>
        <v/>
      </c>
      <c r="E217" s="5">
        <f>IF(205&lt;=B$7*12,C217*B$6/12,"")</f>
        <v/>
      </c>
      <c r="F217" s="5">
        <f>IF(205&lt;=B$7*12,MAX(C217-D217,0),"")</f>
        <v/>
      </c>
      <c r="G217" s="5">
        <f>IF(205&lt;=B$7*12,G216+E217,"")</f>
        <v/>
      </c>
    </row>
    <row r="218">
      <c r="A218" s="15">
        <f>IF(206&lt;=B$7*12,206,"")</f>
        <v/>
      </c>
      <c r="B218" s="15">
        <f>IF(206&lt;=B$7*12,TEXT(DATE(2043,5,1),"mmm yyyy"),"")</f>
        <v/>
      </c>
      <c r="C218" s="16">
        <f>IF(206&lt;=B$7*12,F217,"")</f>
        <v/>
      </c>
      <c r="D218" s="16">
        <f>IF(206&lt;=B$7*12,IFERROR(PMT(B$6/12,B$7*12,-(B4-B5)),0)-E218,"")</f>
        <v/>
      </c>
      <c r="E218" s="16">
        <f>IF(206&lt;=B$7*12,C218*B$6/12,"")</f>
        <v/>
      </c>
      <c r="F218" s="16">
        <f>IF(206&lt;=B$7*12,MAX(C218-D218,0),"")</f>
        <v/>
      </c>
      <c r="G218" s="16">
        <f>IF(206&lt;=B$7*12,G217+E218,"")</f>
        <v/>
      </c>
    </row>
    <row r="219">
      <c r="A219" s="14">
        <f>IF(207&lt;=B$7*12,207,"")</f>
        <v/>
      </c>
      <c r="B219" s="14">
        <f>IF(207&lt;=B$7*12,TEXT(DATE(2043,6,1),"mmm yyyy"),"")</f>
        <v/>
      </c>
      <c r="C219" s="5">
        <f>IF(207&lt;=B$7*12,F218,"")</f>
        <v/>
      </c>
      <c r="D219" s="5">
        <f>IF(207&lt;=B$7*12,IFERROR(PMT(B$6/12,B$7*12,-(B4-B5)),0)-E219,"")</f>
        <v/>
      </c>
      <c r="E219" s="5">
        <f>IF(207&lt;=B$7*12,C219*B$6/12,"")</f>
        <v/>
      </c>
      <c r="F219" s="5">
        <f>IF(207&lt;=B$7*12,MAX(C219-D219,0),"")</f>
        <v/>
      </c>
      <c r="G219" s="5">
        <f>IF(207&lt;=B$7*12,G218+E219,"")</f>
        <v/>
      </c>
    </row>
    <row r="220">
      <c r="A220" s="15">
        <f>IF(208&lt;=B$7*12,208,"")</f>
        <v/>
      </c>
      <c r="B220" s="15">
        <f>IF(208&lt;=B$7*12,TEXT(DATE(2043,7,1),"mmm yyyy"),"")</f>
        <v/>
      </c>
      <c r="C220" s="16">
        <f>IF(208&lt;=B$7*12,F219,"")</f>
        <v/>
      </c>
      <c r="D220" s="16">
        <f>IF(208&lt;=B$7*12,IFERROR(PMT(B$6/12,B$7*12,-(B4-B5)),0)-E220,"")</f>
        <v/>
      </c>
      <c r="E220" s="16">
        <f>IF(208&lt;=B$7*12,C220*B$6/12,"")</f>
        <v/>
      </c>
      <c r="F220" s="16">
        <f>IF(208&lt;=B$7*12,MAX(C220-D220,0),"")</f>
        <v/>
      </c>
      <c r="G220" s="16">
        <f>IF(208&lt;=B$7*12,G219+E220,"")</f>
        <v/>
      </c>
    </row>
    <row r="221">
      <c r="A221" s="14">
        <f>IF(209&lt;=B$7*12,209,"")</f>
        <v/>
      </c>
      <c r="B221" s="14">
        <f>IF(209&lt;=B$7*12,TEXT(DATE(2043,8,1),"mmm yyyy"),"")</f>
        <v/>
      </c>
      <c r="C221" s="5">
        <f>IF(209&lt;=B$7*12,F220,"")</f>
        <v/>
      </c>
      <c r="D221" s="5">
        <f>IF(209&lt;=B$7*12,IFERROR(PMT(B$6/12,B$7*12,-(B4-B5)),0)-E221,"")</f>
        <v/>
      </c>
      <c r="E221" s="5">
        <f>IF(209&lt;=B$7*12,C221*B$6/12,"")</f>
        <v/>
      </c>
      <c r="F221" s="5">
        <f>IF(209&lt;=B$7*12,MAX(C221-D221,0),"")</f>
        <v/>
      </c>
      <c r="G221" s="5">
        <f>IF(209&lt;=B$7*12,G220+E221,"")</f>
        <v/>
      </c>
    </row>
    <row r="222">
      <c r="A222" s="15">
        <f>IF(210&lt;=B$7*12,210,"")</f>
        <v/>
      </c>
      <c r="B222" s="15">
        <f>IF(210&lt;=B$7*12,TEXT(DATE(2043,9,1),"mmm yyyy"),"")</f>
        <v/>
      </c>
      <c r="C222" s="16">
        <f>IF(210&lt;=B$7*12,F221,"")</f>
        <v/>
      </c>
      <c r="D222" s="16">
        <f>IF(210&lt;=B$7*12,IFERROR(PMT(B$6/12,B$7*12,-(B4-B5)),0)-E222,"")</f>
        <v/>
      </c>
      <c r="E222" s="16">
        <f>IF(210&lt;=B$7*12,C222*B$6/12,"")</f>
        <v/>
      </c>
      <c r="F222" s="16">
        <f>IF(210&lt;=B$7*12,MAX(C222-D222,0),"")</f>
        <v/>
      </c>
      <c r="G222" s="16">
        <f>IF(210&lt;=B$7*12,G221+E222,"")</f>
        <v/>
      </c>
    </row>
    <row r="223">
      <c r="A223" s="14">
        <f>IF(211&lt;=B$7*12,211,"")</f>
        <v/>
      </c>
      <c r="B223" s="14">
        <f>IF(211&lt;=B$7*12,TEXT(DATE(2043,10,1),"mmm yyyy"),"")</f>
        <v/>
      </c>
      <c r="C223" s="5">
        <f>IF(211&lt;=B$7*12,F222,"")</f>
        <v/>
      </c>
      <c r="D223" s="5">
        <f>IF(211&lt;=B$7*12,IFERROR(PMT(B$6/12,B$7*12,-(B4-B5)),0)-E223,"")</f>
        <v/>
      </c>
      <c r="E223" s="5">
        <f>IF(211&lt;=B$7*12,C223*B$6/12,"")</f>
        <v/>
      </c>
      <c r="F223" s="5">
        <f>IF(211&lt;=B$7*12,MAX(C223-D223,0),"")</f>
        <v/>
      </c>
      <c r="G223" s="5">
        <f>IF(211&lt;=B$7*12,G222+E223,"")</f>
        <v/>
      </c>
    </row>
    <row r="224">
      <c r="A224" s="15">
        <f>IF(212&lt;=B$7*12,212,"")</f>
        <v/>
      </c>
      <c r="B224" s="15">
        <f>IF(212&lt;=B$7*12,TEXT(DATE(2043,11,1),"mmm yyyy"),"")</f>
        <v/>
      </c>
      <c r="C224" s="16">
        <f>IF(212&lt;=B$7*12,F223,"")</f>
        <v/>
      </c>
      <c r="D224" s="16">
        <f>IF(212&lt;=B$7*12,IFERROR(PMT(B$6/12,B$7*12,-(B4-B5)),0)-E224,"")</f>
        <v/>
      </c>
      <c r="E224" s="16">
        <f>IF(212&lt;=B$7*12,C224*B$6/12,"")</f>
        <v/>
      </c>
      <c r="F224" s="16">
        <f>IF(212&lt;=B$7*12,MAX(C224-D224,0),"")</f>
        <v/>
      </c>
      <c r="G224" s="16">
        <f>IF(212&lt;=B$7*12,G223+E224,"")</f>
        <v/>
      </c>
    </row>
    <row r="225">
      <c r="A225" s="14">
        <f>IF(213&lt;=B$7*12,213,"")</f>
        <v/>
      </c>
      <c r="B225" s="14">
        <f>IF(213&lt;=B$7*12,TEXT(DATE(2043,12,1),"mmm yyyy"),"")</f>
        <v/>
      </c>
      <c r="C225" s="5">
        <f>IF(213&lt;=B$7*12,F224,"")</f>
        <v/>
      </c>
      <c r="D225" s="5">
        <f>IF(213&lt;=B$7*12,IFERROR(PMT(B$6/12,B$7*12,-(B4-B5)),0)-E225,"")</f>
        <v/>
      </c>
      <c r="E225" s="5">
        <f>IF(213&lt;=B$7*12,C225*B$6/12,"")</f>
        <v/>
      </c>
      <c r="F225" s="5">
        <f>IF(213&lt;=B$7*12,MAX(C225-D225,0),"")</f>
        <v/>
      </c>
      <c r="G225" s="5">
        <f>IF(213&lt;=B$7*12,G224+E225,"")</f>
        <v/>
      </c>
    </row>
    <row r="226">
      <c r="A226" s="15">
        <f>IF(214&lt;=B$7*12,214,"")</f>
        <v/>
      </c>
      <c r="B226" s="15">
        <f>IF(214&lt;=B$7*12,TEXT(DATE(2044,1,1),"mmm yyyy"),"")</f>
        <v/>
      </c>
      <c r="C226" s="16">
        <f>IF(214&lt;=B$7*12,F225,"")</f>
        <v/>
      </c>
      <c r="D226" s="16">
        <f>IF(214&lt;=B$7*12,IFERROR(PMT(B$6/12,B$7*12,-(B4-B5)),0)-E226,"")</f>
        <v/>
      </c>
      <c r="E226" s="16">
        <f>IF(214&lt;=B$7*12,C226*B$6/12,"")</f>
        <v/>
      </c>
      <c r="F226" s="16">
        <f>IF(214&lt;=B$7*12,MAX(C226-D226,0),"")</f>
        <v/>
      </c>
      <c r="G226" s="16">
        <f>IF(214&lt;=B$7*12,G225+E226,"")</f>
        <v/>
      </c>
    </row>
    <row r="227">
      <c r="A227" s="14">
        <f>IF(215&lt;=B$7*12,215,"")</f>
        <v/>
      </c>
      <c r="B227" s="14">
        <f>IF(215&lt;=B$7*12,TEXT(DATE(2044,2,1),"mmm yyyy"),"")</f>
        <v/>
      </c>
      <c r="C227" s="5">
        <f>IF(215&lt;=B$7*12,F226,"")</f>
        <v/>
      </c>
      <c r="D227" s="5">
        <f>IF(215&lt;=B$7*12,IFERROR(PMT(B$6/12,B$7*12,-(B4-B5)),0)-E227,"")</f>
        <v/>
      </c>
      <c r="E227" s="5">
        <f>IF(215&lt;=B$7*12,C227*B$6/12,"")</f>
        <v/>
      </c>
      <c r="F227" s="5">
        <f>IF(215&lt;=B$7*12,MAX(C227-D227,0),"")</f>
        <v/>
      </c>
      <c r="G227" s="5">
        <f>IF(215&lt;=B$7*12,G226+E227,"")</f>
        <v/>
      </c>
    </row>
    <row r="228">
      <c r="A228" s="15">
        <f>IF(216&lt;=B$7*12,216,"")</f>
        <v/>
      </c>
      <c r="B228" s="15">
        <f>IF(216&lt;=B$7*12,TEXT(DATE(2044,3,1),"mmm yyyy"),"")</f>
        <v/>
      </c>
      <c r="C228" s="16">
        <f>IF(216&lt;=B$7*12,F227,"")</f>
        <v/>
      </c>
      <c r="D228" s="16">
        <f>IF(216&lt;=B$7*12,IFERROR(PMT(B$6/12,B$7*12,-(B4-B5)),0)-E228,"")</f>
        <v/>
      </c>
      <c r="E228" s="16">
        <f>IF(216&lt;=B$7*12,C228*B$6/12,"")</f>
        <v/>
      </c>
      <c r="F228" s="16">
        <f>IF(216&lt;=B$7*12,MAX(C228-D228,0),"")</f>
        <v/>
      </c>
      <c r="G228" s="16">
        <f>IF(216&lt;=B$7*12,G227+E228,"")</f>
        <v/>
      </c>
    </row>
    <row r="229">
      <c r="A229" s="14">
        <f>IF(217&lt;=B$7*12,217,"")</f>
        <v/>
      </c>
      <c r="B229" s="14">
        <f>IF(217&lt;=B$7*12,TEXT(DATE(2044,4,1),"mmm yyyy"),"")</f>
        <v/>
      </c>
      <c r="C229" s="5">
        <f>IF(217&lt;=B$7*12,F228,"")</f>
        <v/>
      </c>
      <c r="D229" s="5">
        <f>IF(217&lt;=B$7*12,IFERROR(PMT(B$6/12,B$7*12,-(B4-B5)),0)-E229,"")</f>
        <v/>
      </c>
      <c r="E229" s="5">
        <f>IF(217&lt;=B$7*12,C229*B$6/12,"")</f>
        <v/>
      </c>
      <c r="F229" s="5">
        <f>IF(217&lt;=B$7*12,MAX(C229-D229,0),"")</f>
        <v/>
      </c>
      <c r="G229" s="5">
        <f>IF(217&lt;=B$7*12,G228+E229,"")</f>
        <v/>
      </c>
    </row>
    <row r="230">
      <c r="A230" s="15">
        <f>IF(218&lt;=B$7*12,218,"")</f>
        <v/>
      </c>
      <c r="B230" s="15">
        <f>IF(218&lt;=B$7*12,TEXT(DATE(2044,5,1),"mmm yyyy"),"")</f>
        <v/>
      </c>
      <c r="C230" s="16">
        <f>IF(218&lt;=B$7*12,F229,"")</f>
        <v/>
      </c>
      <c r="D230" s="16">
        <f>IF(218&lt;=B$7*12,IFERROR(PMT(B$6/12,B$7*12,-(B4-B5)),0)-E230,"")</f>
        <v/>
      </c>
      <c r="E230" s="16">
        <f>IF(218&lt;=B$7*12,C230*B$6/12,"")</f>
        <v/>
      </c>
      <c r="F230" s="16">
        <f>IF(218&lt;=B$7*12,MAX(C230-D230,0),"")</f>
        <v/>
      </c>
      <c r="G230" s="16">
        <f>IF(218&lt;=B$7*12,G229+E230,"")</f>
        <v/>
      </c>
    </row>
    <row r="231">
      <c r="A231" s="14">
        <f>IF(219&lt;=B$7*12,219,"")</f>
        <v/>
      </c>
      <c r="B231" s="14">
        <f>IF(219&lt;=B$7*12,TEXT(DATE(2044,6,1),"mmm yyyy"),"")</f>
        <v/>
      </c>
      <c r="C231" s="5">
        <f>IF(219&lt;=B$7*12,F230,"")</f>
        <v/>
      </c>
      <c r="D231" s="5">
        <f>IF(219&lt;=B$7*12,IFERROR(PMT(B$6/12,B$7*12,-(B4-B5)),0)-E231,"")</f>
        <v/>
      </c>
      <c r="E231" s="5">
        <f>IF(219&lt;=B$7*12,C231*B$6/12,"")</f>
        <v/>
      </c>
      <c r="F231" s="5">
        <f>IF(219&lt;=B$7*12,MAX(C231-D231,0),"")</f>
        <v/>
      </c>
      <c r="G231" s="5">
        <f>IF(219&lt;=B$7*12,G230+E231,"")</f>
        <v/>
      </c>
    </row>
    <row r="232">
      <c r="A232" s="15">
        <f>IF(220&lt;=B$7*12,220,"")</f>
        <v/>
      </c>
      <c r="B232" s="15">
        <f>IF(220&lt;=B$7*12,TEXT(DATE(2044,7,1),"mmm yyyy"),"")</f>
        <v/>
      </c>
      <c r="C232" s="16">
        <f>IF(220&lt;=B$7*12,F231,"")</f>
        <v/>
      </c>
      <c r="D232" s="16">
        <f>IF(220&lt;=B$7*12,IFERROR(PMT(B$6/12,B$7*12,-(B4-B5)),0)-E232,"")</f>
        <v/>
      </c>
      <c r="E232" s="16">
        <f>IF(220&lt;=B$7*12,C232*B$6/12,"")</f>
        <v/>
      </c>
      <c r="F232" s="16">
        <f>IF(220&lt;=B$7*12,MAX(C232-D232,0),"")</f>
        <v/>
      </c>
      <c r="G232" s="16">
        <f>IF(220&lt;=B$7*12,G231+E232,"")</f>
        <v/>
      </c>
    </row>
    <row r="233">
      <c r="A233" s="14">
        <f>IF(221&lt;=B$7*12,221,"")</f>
        <v/>
      </c>
      <c r="B233" s="14">
        <f>IF(221&lt;=B$7*12,TEXT(DATE(2044,8,1),"mmm yyyy"),"")</f>
        <v/>
      </c>
      <c r="C233" s="5">
        <f>IF(221&lt;=B$7*12,F232,"")</f>
        <v/>
      </c>
      <c r="D233" s="5">
        <f>IF(221&lt;=B$7*12,IFERROR(PMT(B$6/12,B$7*12,-(B4-B5)),0)-E233,"")</f>
        <v/>
      </c>
      <c r="E233" s="5">
        <f>IF(221&lt;=B$7*12,C233*B$6/12,"")</f>
        <v/>
      </c>
      <c r="F233" s="5">
        <f>IF(221&lt;=B$7*12,MAX(C233-D233,0),"")</f>
        <v/>
      </c>
      <c r="G233" s="5">
        <f>IF(221&lt;=B$7*12,G232+E233,"")</f>
        <v/>
      </c>
    </row>
    <row r="234">
      <c r="A234" s="15">
        <f>IF(222&lt;=B$7*12,222,"")</f>
        <v/>
      </c>
      <c r="B234" s="15">
        <f>IF(222&lt;=B$7*12,TEXT(DATE(2044,9,1),"mmm yyyy"),"")</f>
        <v/>
      </c>
      <c r="C234" s="16">
        <f>IF(222&lt;=B$7*12,F233,"")</f>
        <v/>
      </c>
      <c r="D234" s="16">
        <f>IF(222&lt;=B$7*12,IFERROR(PMT(B$6/12,B$7*12,-(B4-B5)),0)-E234,"")</f>
        <v/>
      </c>
      <c r="E234" s="16">
        <f>IF(222&lt;=B$7*12,C234*B$6/12,"")</f>
        <v/>
      </c>
      <c r="F234" s="16">
        <f>IF(222&lt;=B$7*12,MAX(C234-D234,0),"")</f>
        <v/>
      </c>
      <c r="G234" s="16">
        <f>IF(222&lt;=B$7*12,G233+E234,"")</f>
        <v/>
      </c>
    </row>
    <row r="235">
      <c r="A235" s="14">
        <f>IF(223&lt;=B$7*12,223,"")</f>
        <v/>
      </c>
      <c r="B235" s="14">
        <f>IF(223&lt;=B$7*12,TEXT(DATE(2044,10,1),"mmm yyyy"),"")</f>
        <v/>
      </c>
      <c r="C235" s="5">
        <f>IF(223&lt;=B$7*12,F234,"")</f>
        <v/>
      </c>
      <c r="D235" s="5">
        <f>IF(223&lt;=B$7*12,IFERROR(PMT(B$6/12,B$7*12,-(B4-B5)),0)-E235,"")</f>
        <v/>
      </c>
      <c r="E235" s="5">
        <f>IF(223&lt;=B$7*12,C235*B$6/12,"")</f>
        <v/>
      </c>
      <c r="F235" s="5">
        <f>IF(223&lt;=B$7*12,MAX(C235-D235,0),"")</f>
        <v/>
      </c>
      <c r="G235" s="5">
        <f>IF(223&lt;=B$7*12,G234+E235,"")</f>
        <v/>
      </c>
    </row>
    <row r="236">
      <c r="A236" s="15">
        <f>IF(224&lt;=B$7*12,224,"")</f>
        <v/>
      </c>
      <c r="B236" s="15">
        <f>IF(224&lt;=B$7*12,TEXT(DATE(2044,11,1),"mmm yyyy"),"")</f>
        <v/>
      </c>
      <c r="C236" s="16">
        <f>IF(224&lt;=B$7*12,F235,"")</f>
        <v/>
      </c>
      <c r="D236" s="16">
        <f>IF(224&lt;=B$7*12,IFERROR(PMT(B$6/12,B$7*12,-(B4-B5)),0)-E236,"")</f>
        <v/>
      </c>
      <c r="E236" s="16">
        <f>IF(224&lt;=B$7*12,C236*B$6/12,"")</f>
        <v/>
      </c>
      <c r="F236" s="16">
        <f>IF(224&lt;=B$7*12,MAX(C236-D236,0),"")</f>
        <v/>
      </c>
      <c r="G236" s="16">
        <f>IF(224&lt;=B$7*12,G235+E236,"")</f>
        <v/>
      </c>
    </row>
    <row r="237">
      <c r="A237" s="14">
        <f>IF(225&lt;=B$7*12,225,"")</f>
        <v/>
      </c>
      <c r="B237" s="14">
        <f>IF(225&lt;=B$7*12,TEXT(DATE(2044,12,1),"mmm yyyy"),"")</f>
        <v/>
      </c>
      <c r="C237" s="5">
        <f>IF(225&lt;=B$7*12,F236,"")</f>
        <v/>
      </c>
      <c r="D237" s="5">
        <f>IF(225&lt;=B$7*12,IFERROR(PMT(B$6/12,B$7*12,-(B4-B5)),0)-E237,"")</f>
        <v/>
      </c>
      <c r="E237" s="5">
        <f>IF(225&lt;=B$7*12,C237*B$6/12,"")</f>
        <v/>
      </c>
      <c r="F237" s="5">
        <f>IF(225&lt;=B$7*12,MAX(C237-D237,0),"")</f>
        <v/>
      </c>
      <c r="G237" s="5">
        <f>IF(225&lt;=B$7*12,G236+E237,"")</f>
        <v/>
      </c>
    </row>
    <row r="238">
      <c r="A238" s="15">
        <f>IF(226&lt;=B$7*12,226,"")</f>
        <v/>
      </c>
      <c r="B238" s="15">
        <f>IF(226&lt;=B$7*12,TEXT(DATE(2045,1,1),"mmm yyyy"),"")</f>
        <v/>
      </c>
      <c r="C238" s="16">
        <f>IF(226&lt;=B$7*12,F237,"")</f>
        <v/>
      </c>
      <c r="D238" s="16">
        <f>IF(226&lt;=B$7*12,IFERROR(PMT(B$6/12,B$7*12,-(B4-B5)),0)-E238,"")</f>
        <v/>
      </c>
      <c r="E238" s="16">
        <f>IF(226&lt;=B$7*12,C238*B$6/12,"")</f>
        <v/>
      </c>
      <c r="F238" s="16">
        <f>IF(226&lt;=B$7*12,MAX(C238-D238,0),"")</f>
        <v/>
      </c>
      <c r="G238" s="16">
        <f>IF(226&lt;=B$7*12,G237+E238,"")</f>
        <v/>
      </c>
    </row>
    <row r="239">
      <c r="A239" s="14">
        <f>IF(227&lt;=B$7*12,227,"")</f>
        <v/>
      </c>
      <c r="B239" s="14">
        <f>IF(227&lt;=B$7*12,TEXT(DATE(2045,2,1),"mmm yyyy"),"")</f>
        <v/>
      </c>
      <c r="C239" s="5">
        <f>IF(227&lt;=B$7*12,F238,"")</f>
        <v/>
      </c>
      <c r="D239" s="5">
        <f>IF(227&lt;=B$7*12,IFERROR(PMT(B$6/12,B$7*12,-(B4-B5)),0)-E239,"")</f>
        <v/>
      </c>
      <c r="E239" s="5">
        <f>IF(227&lt;=B$7*12,C239*B$6/12,"")</f>
        <v/>
      </c>
      <c r="F239" s="5">
        <f>IF(227&lt;=B$7*12,MAX(C239-D239,0),"")</f>
        <v/>
      </c>
      <c r="G239" s="5">
        <f>IF(227&lt;=B$7*12,G238+E239,"")</f>
        <v/>
      </c>
    </row>
    <row r="240">
      <c r="A240" s="15">
        <f>IF(228&lt;=B$7*12,228,"")</f>
        <v/>
      </c>
      <c r="B240" s="15">
        <f>IF(228&lt;=B$7*12,TEXT(DATE(2045,3,1),"mmm yyyy"),"")</f>
        <v/>
      </c>
      <c r="C240" s="16">
        <f>IF(228&lt;=B$7*12,F239,"")</f>
        <v/>
      </c>
      <c r="D240" s="16">
        <f>IF(228&lt;=B$7*12,IFERROR(PMT(B$6/12,B$7*12,-(B4-B5)),0)-E240,"")</f>
        <v/>
      </c>
      <c r="E240" s="16">
        <f>IF(228&lt;=B$7*12,C240*B$6/12,"")</f>
        <v/>
      </c>
      <c r="F240" s="16">
        <f>IF(228&lt;=B$7*12,MAX(C240-D240,0),"")</f>
        <v/>
      </c>
      <c r="G240" s="16">
        <f>IF(228&lt;=B$7*12,G239+E240,"")</f>
        <v/>
      </c>
    </row>
    <row r="241">
      <c r="A241" s="14">
        <f>IF(229&lt;=B$7*12,229,"")</f>
        <v/>
      </c>
      <c r="B241" s="14">
        <f>IF(229&lt;=B$7*12,TEXT(DATE(2045,4,1),"mmm yyyy"),"")</f>
        <v/>
      </c>
      <c r="C241" s="5">
        <f>IF(229&lt;=B$7*12,F240,"")</f>
        <v/>
      </c>
      <c r="D241" s="5">
        <f>IF(229&lt;=B$7*12,IFERROR(PMT(B$6/12,B$7*12,-(B4-B5)),0)-E241,"")</f>
        <v/>
      </c>
      <c r="E241" s="5">
        <f>IF(229&lt;=B$7*12,C241*B$6/12,"")</f>
        <v/>
      </c>
      <c r="F241" s="5">
        <f>IF(229&lt;=B$7*12,MAX(C241-D241,0),"")</f>
        <v/>
      </c>
      <c r="G241" s="5">
        <f>IF(229&lt;=B$7*12,G240+E241,"")</f>
        <v/>
      </c>
    </row>
    <row r="242">
      <c r="A242" s="15">
        <f>IF(230&lt;=B$7*12,230,"")</f>
        <v/>
      </c>
      <c r="B242" s="15">
        <f>IF(230&lt;=B$7*12,TEXT(DATE(2045,5,1),"mmm yyyy"),"")</f>
        <v/>
      </c>
      <c r="C242" s="16">
        <f>IF(230&lt;=B$7*12,F241,"")</f>
        <v/>
      </c>
      <c r="D242" s="16">
        <f>IF(230&lt;=B$7*12,IFERROR(PMT(B$6/12,B$7*12,-(B4-B5)),0)-E242,"")</f>
        <v/>
      </c>
      <c r="E242" s="16">
        <f>IF(230&lt;=B$7*12,C242*B$6/12,"")</f>
        <v/>
      </c>
      <c r="F242" s="16">
        <f>IF(230&lt;=B$7*12,MAX(C242-D242,0),"")</f>
        <v/>
      </c>
      <c r="G242" s="16">
        <f>IF(230&lt;=B$7*12,G241+E242,"")</f>
        <v/>
      </c>
    </row>
    <row r="243">
      <c r="A243" s="14">
        <f>IF(231&lt;=B$7*12,231,"")</f>
        <v/>
      </c>
      <c r="B243" s="14">
        <f>IF(231&lt;=B$7*12,TEXT(DATE(2045,6,1),"mmm yyyy"),"")</f>
        <v/>
      </c>
      <c r="C243" s="5">
        <f>IF(231&lt;=B$7*12,F242,"")</f>
        <v/>
      </c>
      <c r="D243" s="5">
        <f>IF(231&lt;=B$7*12,IFERROR(PMT(B$6/12,B$7*12,-(B4-B5)),0)-E243,"")</f>
        <v/>
      </c>
      <c r="E243" s="5">
        <f>IF(231&lt;=B$7*12,C243*B$6/12,"")</f>
        <v/>
      </c>
      <c r="F243" s="5">
        <f>IF(231&lt;=B$7*12,MAX(C243-D243,0),"")</f>
        <v/>
      </c>
      <c r="G243" s="5">
        <f>IF(231&lt;=B$7*12,G242+E243,"")</f>
        <v/>
      </c>
    </row>
    <row r="244">
      <c r="A244" s="15">
        <f>IF(232&lt;=B$7*12,232,"")</f>
        <v/>
      </c>
      <c r="B244" s="15">
        <f>IF(232&lt;=B$7*12,TEXT(DATE(2045,7,1),"mmm yyyy"),"")</f>
        <v/>
      </c>
      <c r="C244" s="16">
        <f>IF(232&lt;=B$7*12,F243,"")</f>
        <v/>
      </c>
      <c r="D244" s="16">
        <f>IF(232&lt;=B$7*12,IFERROR(PMT(B$6/12,B$7*12,-(B4-B5)),0)-E244,"")</f>
        <v/>
      </c>
      <c r="E244" s="16">
        <f>IF(232&lt;=B$7*12,C244*B$6/12,"")</f>
        <v/>
      </c>
      <c r="F244" s="16">
        <f>IF(232&lt;=B$7*12,MAX(C244-D244,0),"")</f>
        <v/>
      </c>
      <c r="G244" s="16">
        <f>IF(232&lt;=B$7*12,G243+E244,"")</f>
        <v/>
      </c>
    </row>
    <row r="245">
      <c r="A245" s="14">
        <f>IF(233&lt;=B$7*12,233,"")</f>
        <v/>
      </c>
      <c r="B245" s="14">
        <f>IF(233&lt;=B$7*12,TEXT(DATE(2045,8,1),"mmm yyyy"),"")</f>
        <v/>
      </c>
      <c r="C245" s="5">
        <f>IF(233&lt;=B$7*12,F244,"")</f>
        <v/>
      </c>
      <c r="D245" s="5">
        <f>IF(233&lt;=B$7*12,IFERROR(PMT(B$6/12,B$7*12,-(B4-B5)),0)-E245,"")</f>
        <v/>
      </c>
      <c r="E245" s="5">
        <f>IF(233&lt;=B$7*12,C245*B$6/12,"")</f>
        <v/>
      </c>
      <c r="F245" s="5">
        <f>IF(233&lt;=B$7*12,MAX(C245-D245,0),"")</f>
        <v/>
      </c>
      <c r="G245" s="5">
        <f>IF(233&lt;=B$7*12,G244+E245,"")</f>
        <v/>
      </c>
    </row>
    <row r="246">
      <c r="A246" s="15">
        <f>IF(234&lt;=B$7*12,234,"")</f>
        <v/>
      </c>
      <c r="B246" s="15">
        <f>IF(234&lt;=B$7*12,TEXT(DATE(2045,9,1),"mmm yyyy"),"")</f>
        <v/>
      </c>
      <c r="C246" s="16">
        <f>IF(234&lt;=B$7*12,F245,"")</f>
        <v/>
      </c>
      <c r="D246" s="16">
        <f>IF(234&lt;=B$7*12,IFERROR(PMT(B$6/12,B$7*12,-(B4-B5)),0)-E246,"")</f>
        <v/>
      </c>
      <c r="E246" s="16">
        <f>IF(234&lt;=B$7*12,C246*B$6/12,"")</f>
        <v/>
      </c>
      <c r="F246" s="16">
        <f>IF(234&lt;=B$7*12,MAX(C246-D246,0),"")</f>
        <v/>
      </c>
      <c r="G246" s="16">
        <f>IF(234&lt;=B$7*12,G245+E246,"")</f>
        <v/>
      </c>
    </row>
    <row r="247">
      <c r="A247" s="14">
        <f>IF(235&lt;=B$7*12,235,"")</f>
        <v/>
      </c>
      <c r="B247" s="14">
        <f>IF(235&lt;=B$7*12,TEXT(DATE(2045,10,1),"mmm yyyy"),"")</f>
        <v/>
      </c>
      <c r="C247" s="5">
        <f>IF(235&lt;=B$7*12,F246,"")</f>
        <v/>
      </c>
      <c r="D247" s="5">
        <f>IF(235&lt;=B$7*12,IFERROR(PMT(B$6/12,B$7*12,-(B4-B5)),0)-E247,"")</f>
        <v/>
      </c>
      <c r="E247" s="5">
        <f>IF(235&lt;=B$7*12,C247*B$6/12,"")</f>
        <v/>
      </c>
      <c r="F247" s="5">
        <f>IF(235&lt;=B$7*12,MAX(C247-D247,0),"")</f>
        <v/>
      </c>
      <c r="G247" s="5">
        <f>IF(235&lt;=B$7*12,G246+E247,"")</f>
        <v/>
      </c>
    </row>
    <row r="248">
      <c r="A248" s="15">
        <f>IF(236&lt;=B$7*12,236,"")</f>
        <v/>
      </c>
      <c r="B248" s="15">
        <f>IF(236&lt;=B$7*12,TEXT(DATE(2045,11,1),"mmm yyyy"),"")</f>
        <v/>
      </c>
      <c r="C248" s="16">
        <f>IF(236&lt;=B$7*12,F247,"")</f>
        <v/>
      </c>
      <c r="D248" s="16">
        <f>IF(236&lt;=B$7*12,IFERROR(PMT(B$6/12,B$7*12,-(B4-B5)),0)-E248,"")</f>
        <v/>
      </c>
      <c r="E248" s="16">
        <f>IF(236&lt;=B$7*12,C248*B$6/12,"")</f>
        <v/>
      </c>
      <c r="F248" s="16">
        <f>IF(236&lt;=B$7*12,MAX(C248-D248,0),"")</f>
        <v/>
      </c>
      <c r="G248" s="16">
        <f>IF(236&lt;=B$7*12,G247+E248,"")</f>
        <v/>
      </c>
    </row>
    <row r="249">
      <c r="A249" s="14">
        <f>IF(237&lt;=B$7*12,237,"")</f>
        <v/>
      </c>
      <c r="B249" s="14">
        <f>IF(237&lt;=B$7*12,TEXT(DATE(2045,12,1),"mmm yyyy"),"")</f>
        <v/>
      </c>
      <c r="C249" s="5">
        <f>IF(237&lt;=B$7*12,F248,"")</f>
        <v/>
      </c>
      <c r="D249" s="5">
        <f>IF(237&lt;=B$7*12,IFERROR(PMT(B$6/12,B$7*12,-(B4-B5)),0)-E249,"")</f>
        <v/>
      </c>
      <c r="E249" s="5">
        <f>IF(237&lt;=B$7*12,C249*B$6/12,"")</f>
        <v/>
      </c>
      <c r="F249" s="5">
        <f>IF(237&lt;=B$7*12,MAX(C249-D249,0),"")</f>
        <v/>
      </c>
      <c r="G249" s="5">
        <f>IF(237&lt;=B$7*12,G248+E249,"")</f>
        <v/>
      </c>
    </row>
    <row r="250">
      <c r="A250" s="15">
        <f>IF(238&lt;=B$7*12,238,"")</f>
        <v/>
      </c>
      <c r="B250" s="15">
        <f>IF(238&lt;=B$7*12,TEXT(DATE(2046,1,1),"mmm yyyy"),"")</f>
        <v/>
      </c>
      <c r="C250" s="16">
        <f>IF(238&lt;=B$7*12,F249,"")</f>
        <v/>
      </c>
      <c r="D250" s="16">
        <f>IF(238&lt;=B$7*12,IFERROR(PMT(B$6/12,B$7*12,-(B4-B5)),0)-E250,"")</f>
        <v/>
      </c>
      <c r="E250" s="16">
        <f>IF(238&lt;=B$7*12,C250*B$6/12,"")</f>
        <v/>
      </c>
      <c r="F250" s="16">
        <f>IF(238&lt;=B$7*12,MAX(C250-D250,0),"")</f>
        <v/>
      </c>
      <c r="G250" s="16">
        <f>IF(238&lt;=B$7*12,G249+E250,"")</f>
        <v/>
      </c>
    </row>
    <row r="251">
      <c r="A251" s="14">
        <f>IF(239&lt;=B$7*12,239,"")</f>
        <v/>
      </c>
      <c r="B251" s="14">
        <f>IF(239&lt;=B$7*12,TEXT(DATE(2046,2,1),"mmm yyyy"),"")</f>
        <v/>
      </c>
      <c r="C251" s="5">
        <f>IF(239&lt;=B$7*12,F250,"")</f>
        <v/>
      </c>
      <c r="D251" s="5">
        <f>IF(239&lt;=B$7*12,IFERROR(PMT(B$6/12,B$7*12,-(B4-B5)),0)-E251,"")</f>
        <v/>
      </c>
      <c r="E251" s="5">
        <f>IF(239&lt;=B$7*12,C251*B$6/12,"")</f>
        <v/>
      </c>
      <c r="F251" s="5">
        <f>IF(239&lt;=B$7*12,MAX(C251-D251,0),"")</f>
        <v/>
      </c>
      <c r="G251" s="5">
        <f>IF(239&lt;=B$7*12,G250+E251,"")</f>
        <v/>
      </c>
    </row>
    <row r="252">
      <c r="A252" s="15">
        <f>IF(240&lt;=B$7*12,240,"")</f>
        <v/>
      </c>
      <c r="B252" s="15">
        <f>IF(240&lt;=B$7*12,TEXT(DATE(2046,3,1),"mmm yyyy"),"")</f>
        <v/>
      </c>
      <c r="C252" s="16">
        <f>IF(240&lt;=B$7*12,F251,"")</f>
        <v/>
      </c>
      <c r="D252" s="16">
        <f>IF(240&lt;=B$7*12,IFERROR(PMT(B$6/12,B$7*12,-(B4-B5)),0)-E252,"")</f>
        <v/>
      </c>
      <c r="E252" s="16">
        <f>IF(240&lt;=B$7*12,C252*B$6/12,"")</f>
        <v/>
      </c>
      <c r="F252" s="16">
        <f>IF(240&lt;=B$7*12,MAX(C252-D252,0),"")</f>
        <v/>
      </c>
      <c r="G252" s="16">
        <f>IF(240&lt;=B$7*12,G251+E252,"")</f>
        <v/>
      </c>
    </row>
    <row r="253">
      <c r="A253" s="14">
        <f>IF(241&lt;=B$7*12,241,"")</f>
        <v/>
      </c>
      <c r="B253" s="14">
        <f>IF(241&lt;=B$7*12,TEXT(DATE(2046,4,1),"mmm yyyy"),"")</f>
        <v/>
      </c>
      <c r="C253" s="5">
        <f>IF(241&lt;=B$7*12,F252,"")</f>
        <v/>
      </c>
      <c r="D253" s="5">
        <f>IF(241&lt;=B$7*12,IFERROR(PMT(B$6/12,B$7*12,-(B4-B5)),0)-E253,"")</f>
        <v/>
      </c>
      <c r="E253" s="5">
        <f>IF(241&lt;=B$7*12,C253*B$6/12,"")</f>
        <v/>
      </c>
      <c r="F253" s="5">
        <f>IF(241&lt;=B$7*12,MAX(C253-D253,0),"")</f>
        <v/>
      </c>
      <c r="G253" s="5">
        <f>IF(241&lt;=B$7*12,G252+E253,"")</f>
        <v/>
      </c>
    </row>
    <row r="254">
      <c r="A254" s="15">
        <f>IF(242&lt;=B$7*12,242,"")</f>
        <v/>
      </c>
      <c r="B254" s="15">
        <f>IF(242&lt;=B$7*12,TEXT(DATE(2046,5,1),"mmm yyyy"),"")</f>
        <v/>
      </c>
      <c r="C254" s="16">
        <f>IF(242&lt;=B$7*12,F253,"")</f>
        <v/>
      </c>
      <c r="D254" s="16">
        <f>IF(242&lt;=B$7*12,IFERROR(PMT(B$6/12,B$7*12,-(B4-B5)),0)-E254,"")</f>
        <v/>
      </c>
      <c r="E254" s="16">
        <f>IF(242&lt;=B$7*12,C254*B$6/12,"")</f>
        <v/>
      </c>
      <c r="F254" s="16">
        <f>IF(242&lt;=B$7*12,MAX(C254-D254,0),"")</f>
        <v/>
      </c>
      <c r="G254" s="16">
        <f>IF(242&lt;=B$7*12,G253+E254,"")</f>
        <v/>
      </c>
    </row>
    <row r="255">
      <c r="A255" s="14">
        <f>IF(243&lt;=B$7*12,243,"")</f>
        <v/>
      </c>
      <c r="B255" s="14">
        <f>IF(243&lt;=B$7*12,TEXT(DATE(2046,6,1),"mmm yyyy"),"")</f>
        <v/>
      </c>
      <c r="C255" s="5">
        <f>IF(243&lt;=B$7*12,F254,"")</f>
        <v/>
      </c>
      <c r="D255" s="5">
        <f>IF(243&lt;=B$7*12,IFERROR(PMT(B$6/12,B$7*12,-(B4-B5)),0)-E255,"")</f>
        <v/>
      </c>
      <c r="E255" s="5">
        <f>IF(243&lt;=B$7*12,C255*B$6/12,"")</f>
        <v/>
      </c>
      <c r="F255" s="5">
        <f>IF(243&lt;=B$7*12,MAX(C255-D255,0),"")</f>
        <v/>
      </c>
      <c r="G255" s="5">
        <f>IF(243&lt;=B$7*12,G254+E255,"")</f>
        <v/>
      </c>
    </row>
    <row r="256">
      <c r="A256" s="15">
        <f>IF(244&lt;=B$7*12,244,"")</f>
        <v/>
      </c>
      <c r="B256" s="15">
        <f>IF(244&lt;=B$7*12,TEXT(DATE(2046,7,1),"mmm yyyy"),"")</f>
        <v/>
      </c>
      <c r="C256" s="16">
        <f>IF(244&lt;=B$7*12,F255,"")</f>
        <v/>
      </c>
      <c r="D256" s="16">
        <f>IF(244&lt;=B$7*12,IFERROR(PMT(B$6/12,B$7*12,-(B4-B5)),0)-E256,"")</f>
        <v/>
      </c>
      <c r="E256" s="16">
        <f>IF(244&lt;=B$7*12,C256*B$6/12,"")</f>
        <v/>
      </c>
      <c r="F256" s="16">
        <f>IF(244&lt;=B$7*12,MAX(C256-D256,0),"")</f>
        <v/>
      </c>
      <c r="G256" s="16">
        <f>IF(244&lt;=B$7*12,G255+E256,"")</f>
        <v/>
      </c>
    </row>
    <row r="257">
      <c r="A257" s="14">
        <f>IF(245&lt;=B$7*12,245,"")</f>
        <v/>
      </c>
      <c r="B257" s="14">
        <f>IF(245&lt;=B$7*12,TEXT(DATE(2046,8,1),"mmm yyyy"),"")</f>
        <v/>
      </c>
      <c r="C257" s="5">
        <f>IF(245&lt;=B$7*12,F256,"")</f>
        <v/>
      </c>
      <c r="D257" s="5">
        <f>IF(245&lt;=B$7*12,IFERROR(PMT(B$6/12,B$7*12,-(B4-B5)),0)-E257,"")</f>
        <v/>
      </c>
      <c r="E257" s="5">
        <f>IF(245&lt;=B$7*12,C257*B$6/12,"")</f>
        <v/>
      </c>
      <c r="F257" s="5">
        <f>IF(245&lt;=B$7*12,MAX(C257-D257,0),"")</f>
        <v/>
      </c>
      <c r="G257" s="5">
        <f>IF(245&lt;=B$7*12,G256+E257,"")</f>
        <v/>
      </c>
    </row>
    <row r="258">
      <c r="A258" s="15">
        <f>IF(246&lt;=B$7*12,246,"")</f>
        <v/>
      </c>
      <c r="B258" s="15">
        <f>IF(246&lt;=B$7*12,TEXT(DATE(2046,9,1),"mmm yyyy"),"")</f>
        <v/>
      </c>
      <c r="C258" s="16">
        <f>IF(246&lt;=B$7*12,F257,"")</f>
        <v/>
      </c>
      <c r="D258" s="16">
        <f>IF(246&lt;=B$7*12,IFERROR(PMT(B$6/12,B$7*12,-(B4-B5)),0)-E258,"")</f>
        <v/>
      </c>
      <c r="E258" s="16">
        <f>IF(246&lt;=B$7*12,C258*B$6/12,"")</f>
        <v/>
      </c>
      <c r="F258" s="16">
        <f>IF(246&lt;=B$7*12,MAX(C258-D258,0),"")</f>
        <v/>
      </c>
      <c r="G258" s="16">
        <f>IF(246&lt;=B$7*12,G257+E258,"")</f>
        <v/>
      </c>
    </row>
    <row r="259">
      <c r="A259" s="14">
        <f>IF(247&lt;=B$7*12,247,"")</f>
        <v/>
      </c>
      <c r="B259" s="14">
        <f>IF(247&lt;=B$7*12,TEXT(DATE(2046,10,1),"mmm yyyy"),"")</f>
        <v/>
      </c>
      <c r="C259" s="5">
        <f>IF(247&lt;=B$7*12,F258,"")</f>
        <v/>
      </c>
      <c r="D259" s="5">
        <f>IF(247&lt;=B$7*12,IFERROR(PMT(B$6/12,B$7*12,-(B4-B5)),0)-E259,"")</f>
        <v/>
      </c>
      <c r="E259" s="5">
        <f>IF(247&lt;=B$7*12,C259*B$6/12,"")</f>
        <v/>
      </c>
      <c r="F259" s="5">
        <f>IF(247&lt;=B$7*12,MAX(C259-D259,0),"")</f>
        <v/>
      </c>
      <c r="G259" s="5">
        <f>IF(247&lt;=B$7*12,G258+E259,"")</f>
        <v/>
      </c>
    </row>
    <row r="260">
      <c r="A260" s="15">
        <f>IF(248&lt;=B$7*12,248,"")</f>
        <v/>
      </c>
      <c r="B260" s="15">
        <f>IF(248&lt;=B$7*12,TEXT(DATE(2046,11,1),"mmm yyyy"),"")</f>
        <v/>
      </c>
      <c r="C260" s="16">
        <f>IF(248&lt;=B$7*12,F259,"")</f>
        <v/>
      </c>
      <c r="D260" s="16">
        <f>IF(248&lt;=B$7*12,IFERROR(PMT(B$6/12,B$7*12,-(B4-B5)),0)-E260,"")</f>
        <v/>
      </c>
      <c r="E260" s="16">
        <f>IF(248&lt;=B$7*12,C260*B$6/12,"")</f>
        <v/>
      </c>
      <c r="F260" s="16">
        <f>IF(248&lt;=B$7*12,MAX(C260-D260,0),"")</f>
        <v/>
      </c>
      <c r="G260" s="16">
        <f>IF(248&lt;=B$7*12,G259+E260,"")</f>
        <v/>
      </c>
    </row>
    <row r="261">
      <c r="A261" s="14">
        <f>IF(249&lt;=B$7*12,249,"")</f>
        <v/>
      </c>
      <c r="B261" s="14">
        <f>IF(249&lt;=B$7*12,TEXT(DATE(2046,12,1),"mmm yyyy"),"")</f>
        <v/>
      </c>
      <c r="C261" s="5">
        <f>IF(249&lt;=B$7*12,F260,"")</f>
        <v/>
      </c>
      <c r="D261" s="5">
        <f>IF(249&lt;=B$7*12,IFERROR(PMT(B$6/12,B$7*12,-(B4-B5)),0)-E261,"")</f>
        <v/>
      </c>
      <c r="E261" s="5">
        <f>IF(249&lt;=B$7*12,C261*B$6/12,"")</f>
        <v/>
      </c>
      <c r="F261" s="5">
        <f>IF(249&lt;=B$7*12,MAX(C261-D261,0),"")</f>
        <v/>
      </c>
      <c r="G261" s="5">
        <f>IF(249&lt;=B$7*12,G260+E261,"")</f>
        <v/>
      </c>
    </row>
    <row r="262">
      <c r="A262" s="15">
        <f>IF(250&lt;=B$7*12,250,"")</f>
        <v/>
      </c>
      <c r="B262" s="15">
        <f>IF(250&lt;=B$7*12,TEXT(DATE(2047,1,1),"mmm yyyy"),"")</f>
        <v/>
      </c>
      <c r="C262" s="16">
        <f>IF(250&lt;=B$7*12,F261,"")</f>
        <v/>
      </c>
      <c r="D262" s="16">
        <f>IF(250&lt;=B$7*12,IFERROR(PMT(B$6/12,B$7*12,-(B4-B5)),0)-E262,"")</f>
        <v/>
      </c>
      <c r="E262" s="16">
        <f>IF(250&lt;=B$7*12,C262*B$6/12,"")</f>
        <v/>
      </c>
      <c r="F262" s="16">
        <f>IF(250&lt;=B$7*12,MAX(C262-D262,0),"")</f>
        <v/>
      </c>
      <c r="G262" s="16">
        <f>IF(250&lt;=B$7*12,G261+E262,"")</f>
        <v/>
      </c>
    </row>
    <row r="263">
      <c r="A263" s="14">
        <f>IF(251&lt;=B$7*12,251,"")</f>
        <v/>
      </c>
      <c r="B263" s="14">
        <f>IF(251&lt;=B$7*12,TEXT(DATE(2047,2,1),"mmm yyyy"),"")</f>
        <v/>
      </c>
      <c r="C263" s="5">
        <f>IF(251&lt;=B$7*12,F262,"")</f>
        <v/>
      </c>
      <c r="D263" s="5">
        <f>IF(251&lt;=B$7*12,IFERROR(PMT(B$6/12,B$7*12,-(B4-B5)),0)-E263,"")</f>
        <v/>
      </c>
      <c r="E263" s="5">
        <f>IF(251&lt;=B$7*12,C263*B$6/12,"")</f>
        <v/>
      </c>
      <c r="F263" s="5">
        <f>IF(251&lt;=B$7*12,MAX(C263-D263,0),"")</f>
        <v/>
      </c>
      <c r="G263" s="5">
        <f>IF(251&lt;=B$7*12,G262+E263,"")</f>
        <v/>
      </c>
    </row>
    <row r="264">
      <c r="A264" s="15">
        <f>IF(252&lt;=B$7*12,252,"")</f>
        <v/>
      </c>
      <c r="B264" s="15">
        <f>IF(252&lt;=B$7*12,TEXT(DATE(2047,3,1),"mmm yyyy"),"")</f>
        <v/>
      </c>
      <c r="C264" s="16">
        <f>IF(252&lt;=B$7*12,F263,"")</f>
        <v/>
      </c>
      <c r="D264" s="16">
        <f>IF(252&lt;=B$7*12,IFERROR(PMT(B$6/12,B$7*12,-(B4-B5)),0)-E264,"")</f>
        <v/>
      </c>
      <c r="E264" s="16">
        <f>IF(252&lt;=B$7*12,C264*B$6/12,"")</f>
        <v/>
      </c>
      <c r="F264" s="16">
        <f>IF(252&lt;=B$7*12,MAX(C264-D264,0),"")</f>
        <v/>
      </c>
      <c r="G264" s="16">
        <f>IF(252&lt;=B$7*12,G263+E264,"")</f>
        <v/>
      </c>
    </row>
    <row r="265">
      <c r="A265" s="14">
        <f>IF(253&lt;=B$7*12,253,"")</f>
        <v/>
      </c>
      <c r="B265" s="14">
        <f>IF(253&lt;=B$7*12,TEXT(DATE(2047,4,1),"mmm yyyy"),"")</f>
        <v/>
      </c>
      <c r="C265" s="5">
        <f>IF(253&lt;=B$7*12,F264,"")</f>
        <v/>
      </c>
      <c r="D265" s="5">
        <f>IF(253&lt;=B$7*12,IFERROR(PMT(B$6/12,B$7*12,-(B4-B5)),0)-E265,"")</f>
        <v/>
      </c>
      <c r="E265" s="5">
        <f>IF(253&lt;=B$7*12,C265*B$6/12,"")</f>
        <v/>
      </c>
      <c r="F265" s="5">
        <f>IF(253&lt;=B$7*12,MAX(C265-D265,0),"")</f>
        <v/>
      </c>
      <c r="G265" s="5">
        <f>IF(253&lt;=B$7*12,G264+E265,"")</f>
        <v/>
      </c>
    </row>
    <row r="266">
      <c r="A266" s="15">
        <f>IF(254&lt;=B$7*12,254,"")</f>
        <v/>
      </c>
      <c r="B266" s="15">
        <f>IF(254&lt;=B$7*12,TEXT(DATE(2047,5,1),"mmm yyyy"),"")</f>
        <v/>
      </c>
      <c r="C266" s="16">
        <f>IF(254&lt;=B$7*12,F265,"")</f>
        <v/>
      </c>
      <c r="D266" s="16">
        <f>IF(254&lt;=B$7*12,IFERROR(PMT(B$6/12,B$7*12,-(B4-B5)),0)-E266,"")</f>
        <v/>
      </c>
      <c r="E266" s="16">
        <f>IF(254&lt;=B$7*12,C266*B$6/12,"")</f>
        <v/>
      </c>
      <c r="F266" s="16">
        <f>IF(254&lt;=B$7*12,MAX(C266-D266,0),"")</f>
        <v/>
      </c>
      <c r="G266" s="16">
        <f>IF(254&lt;=B$7*12,G265+E266,"")</f>
        <v/>
      </c>
    </row>
    <row r="267">
      <c r="A267" s="14">
        <f>IF(255&lt;=B$7*12,255,"")</f>
        <v/>
      </c>
      <c r="B267" s="14">
        <f>IF(255&lt;=B$7*12,TEXT(DATE(2047,6,1),"mmm yyyy"),"")</f>
        <v/>
      </c>
      <c r="C267" s="5">
        <f>IF(255&lt;=B$7*12,F266,"")</f>
        <v/>
      </c>
      <c r="D267" s="5">
        <f>IF(255&lt;=B$7*12,IFERROR(PMT(B$6/12,B$7*12,-(B4-B5)),0)-E267,"")</f>
        <v/>
      </c>
      <c r="E267" s="5">
        <f>IF(255&lt;=B$7*12,C267*B$6/12,"")</f>
        <v/>
      </c>
      <c r="F267" s="5">
        <f>IF(255&lt;=B$7*12,MAX(C267-D267,0),"")</f>
        <v/>
      </c>
      <c r="G267" s="5">
        <f>IF(255&lt;=B$7*12,G266+E267,"")</f>
        <v/>
      </c>
    </row>
    <row r="268">
      <c r="A268" s="15">
        <f>IF(256&lt;=B$7*12,256,"")</f>
        <v/>
      </c>
      <c r="B268" s="15">
        <f>IF(256&lt;=B$7*12,TEXT(DATE(2047,7,1),"mmm yyyy"),"")</f>
        <v/>
      </c>
      <c r="C268" s="16">
        <f>IF(256&lt;=B$7*12,F267,"")</f>
        <v/>
      </c>
      <c r="D268" s="16">
        <f>IF(256&lt;=B$7*12,IFERROR(PMT(B$6/12,B$7*12,-(B4-B5)),0)-E268,"")</f>
        <v/>
      </c>
      <c r="E268" s="16">
        <f>IF(256&lt;=B$7*12,C268*B$6/12,"")</f>
        <v/>
      </c>
      <c r="F268" s="16">
        <f>IF(256&lt;=B$7*12,MAX(C268-D268,0),"")</f>
        <v/>
      </c>
      <c r="G268" s="16">
        <f>IF(256&lt;=B$7*12,G267+E268,"")</f>
        <v/>
      </c>
    </row>
    <row r="269">
      <c r="A269" s="14">
        <f>IF(257&lt;=B$7*12,257,"")</f>
        <v/>
      </c>
      <c r="B269" s="14">
        <f>IF(257&lt;=B$7*12,TEXT(DATE(2047,8,1),"mmm yyyy"),"")</f>
        <v/>
      </c>
      <c r="C269" s="5">
        <f>IF(257&lt;=B$7*12,F268,"")</f>
        <v/>
      </c>
      <c r="D269" s="5">
        <f>IF(257&lt;=B$7*12,IFERROR(PMT(B$6/12,B$7*12,-(B4-B5)),0)-E269,"")</f>
        <v/>
      </c>
      <c r="E269" s="5">
        <f>IF(257&lt;=B$7*12,C269*B$6/12,"")</f>
        <v/>
      </c>
      <c r="F269" s="5">
        <f>IF(257&lt;=B$7*12,MAX(C269-D269,0),"")</f>
        <v/>
      </c>
      <c r="G269" s="5">
        <f>IF(257&lt;=B$7*12,G268+E269,"")</f>
        <v/>
      </c>
    </row>
    <row r="270">
      <c r="A270" s="15">
        <f>IF(258&lt;=B$7*12,258,"")</f>
        <v/>
      </c>
      <c r="B270" s="15">
        <f>IF(258&lt;=B$7*12,TEXT(DATE(2047,9,1),"mmm yyyy"),"")</f>
        <v/>
      </c>
      <c r="C270" s="16">
        <f>IF(258&lt;=B$7*12,F269,"")</f>
        <v/>
      </c>
      <c r="D270" s="16">
        <f>IF(258&lt;=B$7*12,IFERROR(PMT(B$6/12,B$7*12,-(B4-B5)),0)-E270,"")</f>
        <v/>
      </c>
      <c r="E270" s="16">
        <f>IF(258&lt;=B$7*12,C270*B$6/12,"")</f>
        <v/>
      </c>
      <c r="F270" s="16">
        <f>IF(258&lt;=B$7*12,MAX(C270-D270,0),"")</f>
        <v/>
      </c>
      <c r="G270" s="16">
        <f>IF(258&lt;=B$7*12,G269+E270,"")</f>
        <v/>
      </c>
    </row>
    <row r="271">
      <c r="A271" s="14">
        <f>IF(259&lt;=B$7*12,259,"")</f>
        <v/>
      </c>
      <c r="B271" s="14">
        <f>IF(259&lt;=B$7*12,TEXT(DATE(2047,10,1),"mmm yyyy"),"")</f>
        <v/>
      </c>
      <c r="C271" s="5">
        <f>IF(259&lt;=B$7*12,F270,"")</f>
        <v/>
      </c>
      <c r="D271" s="5">
        <f>IF(259&lt;=B$7*12,IFERROR(PMT(B$6/12,B$7*12,-(B4-B5)),0)-E271,"")</f>
        <v/>
      </c>
      <c r="E271" s="5">
        <f>IF(259&lt;=B$7*12,C271*B$6/12,"")</f>
        <v/>
      </c>
      <c r="F271" s="5">
        <f>IF(259&lt;=B$7*12,MAX(C271-D271,0),"")</f>
        <v/>
      </c>
      <c r="G271" s="5">
        <f>IF(259&lt;=B$7*12,G270+E271,"")</f>
        <v/>
      </c>
    </row>
    <row r="272">
      <c r="A272" s="15">
        <f>IF(260&lt;=B$7*12,260,"")</f>
        <v/>
      </c>
      <c r="B272" s="15">
        <f>IF(260&lt;=B$7*12,TEXT(DATE(2047,11,1),"mmm yyyy"),"")</f>
        <v/>
      </c>
      <c r="C272" s="16">
        <f>IF(260&lt;=B$7*12,F271,"")</f>
        <v/>
      </c>
      <c r="D272" s="16">
        <f>IF(260&lt;=B$7*12,IFERROR(PMT(B$6/12,B$7*12,-(B4-B5)),0)-E272,"")</f>
        <v/>
      </c>
      <c r="E272" s="16">
        <f>IF(260&lt;=B$7*12,C272*B$6/12,"")</f>
        <v/>
      </c>
      <c r="F272" s="16">
        <f>IF(260&lt;=B$7*12,MAX(C272-D272,0),"")</f>
        <v/>
      </c>
      <c r="G272" s="16">
        <f>IF(260&lt;=B$7*12,G271+E272,"")</f>
        <v/>
      </c>
    </row>
    <row r="273">
      <c r="A273" s="14">
        <f>IF(261&lt;=B$7*12,261,"")</f>
        <v/>
      </c>
      <c r="B273" s="14">
        <f>IF(261&lt;=B$7*12,TEXT(DATE(2047,12,1),"mmm yyyy"),"")</f>
        <v/>
      </c>
      <c r="C273" s="5">
        <f>IF(261&lt;=B$7*12,F272,"")</f>
        <v/>
      </c>
      <c r="D273" s="5">
        <f>IF(261&lt;=B$7*12,IFERROR(PMT(B$6/12,B$7*12,-(B4-B5)),0)-E273,"")</f>
        <v/>
      </c>
      <c r="E273" s="5">
        <f>IF(261&lt;=B$7*12,C273*B$6/12,"")</f>
        <v/>
      </c>
      <c r="F273" s="5">
        <f>IF(261&lt;=B$7*12,MAX(C273-D273,0),"")</f>
        <v/>
      </c>
      <c r="G273" s="5">
        <f>IF(261&lt;=B$7*12,G272+E273,"")</f>
        <v/>
      </c>
    </row>
    <row r="274">
      <c r="A274" s="15">
        <f>IF(262&lt;=B$7*12,262,"")</f>
        <v/>
      </c>
      <c r="B274" s="15">
        <f>IF(262&lt;=B$7*12,TEXT(DATE(2048,1,1),"mmm yyyy"),"")</f>
        <v/>
      </c>
      <c r="C274" s="16">
        <f>IF(262&lt;=B$7*12,F273,"")</f>
        <v/>
      </c>
      <c r="D274" s="16">
        <f>IF(262&lt;=B$7*12,IFERROR(PMT(B$6/12,B$7*12,-(B4-B5)),0)-E274,"")</f>
        <v/>
      </c>
      <c r="E274" s="16">
        <f>IF(262&lt;=B$7*12,C274*B$6/12,"")</f>
        <v/>
      </c>
      <c r="F274" s="16">
        <f>IF(262&lt;=B$7*12,MAX(C274-D274,0),"")</f>
        <v/>
      </c>
      <c r="G274" s="16">
        <f>IF(262&lt;=B$7*12,G273+E274,"")</f>
        <v/>
      </c>
    </row>
    <row r="275">
      <c r="A275" s="14">
        <f>IF(263&lt;=B$7*12,263,"")</f>
        <v/>
      </c>
      <c r="B275" s="14">
        <f>IF(263&lt;=B$7*12,TEXT(DATE(2048,2,1),"mmm yyyy"),"")</f>
        <v/>
      </c>
      <c r="C275" s="5">
        <f>IF(263&lt;=B$7*12,F274,"")</f>
        <v/>
      </c>
      <c r="D275" s="5">
        <f>IF(263&lt;=B$7*12,IFERROR(PMT(B$6/12,B$7*12,-(B4-B5)),0)-E275,"")</f>
        <v/>
      </c>
      <c r="E275" s="5">
        <f>IF(263&lt;=B$7*12,C275*B$6/12,"")</f>
        <v/>
      </c>
      <c r="F275" s="5">
        <f>IF(263&lt;=B$7*12,MAX(C275-D275,0),"")</f>
        <v/>
      </c>
      <c r="G275" s="5">
        <f>IF(263&lt;=B$7*12,G274+E275,"")</f>
        <v/>
      </c>
    </row>
    <row r="276">
      <c r="A276" s="15">
        <f>IF(264&lt;=B$7*12,264,"")</f>
        <v/>
      </c>
      <c r="B276" s="15">
        <f>IF(264&lt;=B$7*12,TEXT(DATE(2048,3,1),"mmm yyyy"),"")</f>
        <v/>
      </c>
      <c r="C276" s="16">
        <f>IF(264&lt;=B$7*12,F275,"")</f>
        <v/>
      </c>
      <c r="D276" s="16">
        <f>IF(264&lt;=B$7*12,IFERROR(PMT(B$6/12,B$7*12,-(B4-B5)),0)-E276,"")</f>
        <v/>
      </c>
      <c r="E276" s="16">
        <f>IF(264&lt;=B$7*12,C276*B$6/12,"")</f>
        <v/>
      </c>
      <c r="F276" s="16">
        <f>IF(264&lt;=B$7*12,MAX(C276-D276,0),"")</f>
        <v/>
      </c>
      <c r="G276" s="16">
        <f>IF(264&lt;=B$7*12,G275+E276,"")</f>
        <v/>
      </c>
    </row>
    <row r="277">
      <c r="A277" s="14">
        <f>IF(265&lt;=B$7*12,265,"")</f>
        <v/>
      </c>
      <c r="B277" s="14">
        <f>IF(265&lt;=B$7*12,TEXT(DATE(2048,4,1),"mmm yyyy"),"")</f>
        <v/>
      </c>
      <c r="C277" s="5">
        <f>IF(265&lt;=B$7*12,F276,"")</f>
        <v/>
      </c>
      <c r="D277" s="5">
        <f>IF(265&lt;=B$7*12,IFERROR(PMT(B$6/12,B$7*12,-(B4-B5)),0)-E277,"")</f>
        <v/>
      </c>
      <c r="E277" s="5">
        <f>IF(265&lt;=B$7*12,C277*B$6/12,"")</f>
        <v/>
      </c>
      <c r="F277" s="5">
        <f>IF(265&lt;=B$7*12,MAX(C277-D277,0),"")</f>
        <v/>
      </c>
      <c r="G277" s="5">
        <f>IF(265&lt;=B$7*12,G276+E277,"")</f>
        <v/>
      </c>
    </row>
    <row r="278">
      <c r="A278" s="15">
        <f>IF(266&lt;=B$7*12,266,"")</f>
        <v/>
      </c>
      <c r="B278" s="15">
        <f>IF(266&lt;=B$7*12,TEXT(DATE(2048,5,1),"mmm yyyy"),"")</f>
        <v/>
      </c>
      <c r="C278" s="16">
        <f>IF(266&lt;=B$7*12,F277,"")</f>
        <v/>
      </c>
      <c r="D278" s="16">
        <f>IF(266&lt;=B$7*12,IFERROR(PMT(B$6/12,B$7*12,-(B4-B5)),0)-E278,"")</f>
        <v/>
      </c>
      <c r="E278" s="16">
        <f>IF(266&lt;=B$7*12,C278*B$6/12,"")</f>
        <v/>
      </c>
      <c r="F278" s="16">
        <f>IF(266&lt;=B$7*12,MAX(C278-D278,0),"")</f>
        <v/>
      </c>
      <c r="G278" s="16">
        <f>IF(266&lt;=B$7*12,G277+E278,"")</f>
        <v/>
      </c>
    </row>
    <row r="279">
      <c r="A279" s="14">
        <f>IF(267&lt;=B$7*12,267,"")</f>
        <v/>
      </c>
      <c r="B279" s="14">
        <f>IF(267&lt;=B$7*12,TEXT(DATE(2048,6,1),"mmm yyyy"),"")</f>
        <v/>
      </c>
      <c r="C279" s="5">
        <f>IF(267&lt;=B$7*12,F278,"")</f>
        <v/>
      </c>
      <c r="D279" s="5">
        <f>IF(267&lt;=B$7*12,IFERROR(PMT(B$6/12,B$7*12,-(B4-B5)),0)-E279,"")</f>
        <v/>
      </c>
      <c r="E279" s="5">
        <f>IF(267&lt;=B$7*12,C279*B$6/12,"")</f>
        <v/>
      </c>
      <c r="F279" s="5">
        <f>IF(267&lt;=B$7*12,MAX(C279-D279,0),"")</f>
        <v/>
      </c>
      <c r="G279" s="5">
        <f>IF(267&lt;=B$7*12,G278+E279,"")</f>
        <v/>
      </c>
    </row>
    <row r="280">
      <c r="A280" s="15">
        <f>IF(268&lt;=B$7*12,268,"")</f>
        <v/>
      </c>
      <c r="B280" s="15">
        <f>IF(268&lt;=B$7*12,TEXT(DATE(2048,7,1),"mmm yyyy"),"")</f>
        <v/>
      </c>
      <c r="C280" s="16">
        <f>IF(268&lt;=B$7*12,F279,"")</f>
        <v/>
      </c>
      <c r="D280" s="16">
        <f>IF(268&lt;=B$7*12,IFERROR(PMT(B$6/12,B$7*12,-(B4-B5)),0)-E280,"")</f>
        <v/>
      </c>
      <c r="E280" s="16">
        <f>IF(268&lt;=B$7*12,C280*B$6/12,"")</f>
        <v/>
      </c>
      <c r="F280" s="16">
        <f>IF(268&lt;=B$7*12,MAX(C280-D280,0),"")</f>
        <v/>
      </c>
      <c r="G280" s="16">
        <f>IF(268&lt;=B$7*12,G279+E280,"")</f>
        <v/>
      </c>
    </row>
    <row r="281">
      <c r="A281" s="14">
        <f>IF(269&lt;=B$7*12,269,"")</f>
        <v/>
      </c>
      <c r="B281" s="14">
        <f>IF(269&lt;=B$7*12,TEXT(DATE(2048,8,1),"mmm yyyy"),"")</f>
        <v/>
      </c>
      <c r="C281" s="5">
        <f>IF(269&lt;=B$7*12,F280,"")</f>
        <v/>
      </c>
      <c r="D281" s="5">
        <f>IF(269&lt;=B$7*12,IFERROR(PMT(B$6/12,B$7*12,-(B4-B5)),0)-E281,"")</f>
        <v/>
      </c>
      <c r="E281" s="5">
        <f>IF(269&lt;=B$7*12,C281*B$6/12,"")</f>
        <v/>
      </c>
      <c r="F281" s="5">
        <f>IF(269&lt;=B$7*12,MAX(C281-D281,0),"")</f>
        <v/>
      </c>
      <c r="G281" s="5">
        <f>IF(269&lt;=B$7*12,G280+E281,"")</f>
        <v/>
      </c>
    </row>
    <row r="282">
      <c r="A282" s="15">
        <f>IF(270&lt;=B$7*12,270,"")</f>
        <v/>
      </c>
      <c r="B282" s="15">
        <f>IF(270&lt;=B$7*12,TEXT(DATE(2048,9,1),"mmm yyyy"),"")</f>
        <v/>
      </c>
      <c r="C282" s="16">
        <f>IF(270&lt;=B$7*12,F281,"")</f>
        <v/>
      </c>
      <c r="D282" s="16">
        <f>IF(270&lt;=B$7*12,IFERROR(PMT(B$6/12,B$7*12,-(B4-B5)),0)-E282,"")</f>
        <v/>
      </c>
      <c r="E282" s="16">
        <f>IF(270&lt;=B$7*12,C282*B$6/12,"")</f>
        <v/>
      </c>
      <c r="F282" s="16">
        <f>IF(270&lt;=B$7*12,MAX(C282-D282,0),"")</f>
        <v/>
      </c>
      <c r="G282" s="16">
        <f>IF(270&lt;=B$7*12,G281+E282,"")</f>
        <v/>
      </c>
    </row>
    <row r="283">
      <c r="A283" s="14">
        <f>IF(271&lt;=B$7*12,271,"")</f>
        <v/>
      </c>
      <c r="B283" s="14">
        <f>IF(271&lt;=B$7*12,TEXT(DATE(2048,10,1),"mmm yyyy"),"")</f>
        <v/>
      </c>
      <c r="C283" s="5">
        <f>IF(271&lt;=B$7*12,F282,"")</f>
        <v/>
      </c>
      <c r="D283" s="5">
        <f>IF(271&lt;=B$7*12,IFERROR(PMT(B$6/12,B$7*12,-(B4-B5)),0)-E283,"")</f>
        <v/>
      </c>
      <c r="E283" s="5">
        <f>IF(271&lt;=B$7*12,C283*B$6/12,"")</f>
        <v/>
      </c>
      <c r="F283" s="5">
        <f>IF(271&lt;=B$7*12,MAX(C283-D283,0),"")</f>
        <v/>
      </c>
      <c r="G283" s="5">
        <f>IF(271&lt;=B$7*12,G282+E283,"")</f>
        <v/>
      </c>
    </row>
    <row r="284">
      <c r="A284" s="15">
        <f>IF(272&lt;=B$7*12,272,"")</f>
        <v/>
      </c>
      <c r="B284" s="15">
        <f>IF(272&lt;=B$7*12,TEXT(DATE(2048,11,1),"mmm yyyy"),"")</f>
        <v/>
      </c>
      <c r="C284" s="16">
        <f>IF(272&lt;=B$7*12,F283,"")</f>
        <v/>
      </c>
      <c r="D284" s="16">
        <f>IF(272&lt;=B$7*12,IFERROR(PMT(B$6/12,B$7*12,-(B4-B5)),0)-E284,"")</f>
        <v/>
      </c>
      <c r="E284" s="16">
        <f>IF(272&lt;=B$7*12,C284*B$6/12,"")</f>
        <v/>
      </c>
      <c r="F284" s="16">
        <f>IF(272&lt;=B$7*12,MAX(C284-D284,0),"")</f>
        <v/>
      </c>
      <c r="G284" s="16">
        <f>IF(272&lt;=B$7*12,G283+E284,"")</f>
        <v/>
      </c>
    </row>
    <row r="285">
      <c r="A285" s="14">
        <f>IF(273&lt;=B$7*12,273,"")</f>
        <v/>
      </c>
      <c r="B285" s="14">
        <f>IF(273&lt;=B$7*12,TEXT(DATE(2048,12,1),"mmm yyyy"),"")</f>
        <v/>
      </c>
      <c r="C285" s="5">
        <f>IF(273&lt;=B$7*12,F284,"")</f>
        <v/>
      </c>
      <c r="D285" s="5">
        <f>IF(273&lt;=B$7*12,IFERROR(PMT(B$6/12,B$7*12,-(B4-B5)),0)-E285,"")</f>
        <v/>
      </c>
      <c r="E285" s="5">
        <f>IF(273&lt;=B$7*12,C285*B$6/12,"")</f>
        <v/>
      </c>
      <c r="F285" s="5">
        <f>IF(273&lt;=B$7*12,MAX(C285-D285,0),"")</f>
        <v/>
      </c>
      <c r="G285" s="5">
        <f>IF(273&lt;=B$7*12,G284+E285,"")</f>
        <v/>
      </c>
    </row>
    <row r="286">
      <c r="A286" s="15">
        <f>IF(274&lt;=B$7*12,274,"")</f>
        <v/>
      </c>
      <c r="B286" s="15">
        <f>IF(274&lt;=B$7*12,TEXT(DATE(2049,1,1),"mmm yyyy"),"")</f>
        <v/>
      </c>
      <c r="C286" s="16">
        <f>IF(274&lt;=B$7*12,F285,"")</f>
        <v/>
      </c>
      <c r="D286" s="16">
        <f>IF(274&lt;=B$7*12,IFERROR(PMT(B$6/12,B$7*12,-(B4-B5)),0)-E286,"")</f>
        <v/>
      </c>
      <c r="E286" s="16">
        <f>IF(274&lt;=B$7*12,C286*B$6/12,"")</f>
        <v/>
      </c>
      <c r="F286" s="16">
        <f>IF(274&lt;=B$7*12,MAX(C286-D286,0),"")</f>
        <v/>
      </c>
      <c r="G286" s="16">
        <f>IF(274&lt;=B$7*12,G285+E286,"")</f>
        <v/>
      </c>
    </row>
    <row r="287">
      <c r="A287" s="14">
        <f>IF(275&lt;=B$7*12,275,"")</f>
        <v/>
      </c>
      <c r="B287" s="14">
        <f>IF(275&lt;=B$7*12,TEXT(DATE(2049,2,1),"mmm yyyy"),"")</f>
        <v/>
      </c>
      <c r="C287" s="5">
        <f>IF(275&lt;=B$7*12,F286,"")</f>
        <v/>
      </c>
      <c r="D287" s="5">
        <f>IF(275&lt;=B$7*12,IFERROR(PMT(B$6/12,B$7*12,-(B4-B5)),0)-E287,"")</f>
        <v/>
      </c>
      <c r="E287" s="5">
        <f>IF(275&lt;=B$7*12,C287*B$6/12,"")</f>
        <v/>
      </c>
      <c r="F287" s="5">
        <f>IF(275&lt;=B$7*12,MAX(C287-D287,0),"")</f>
        <v/>
      </c>
      <c r="G287" s="5">
        <f>IF(275&lt;=B$7*12,G286+E287,"")</f>
        <v/>
      </c>
    </row>
    <row r="288">
      <c r="A288" s="15">
        <f>IF(276&lt;=B$7*12,276,"")</f>
        <v/>
      </c>
      <c r="B288" s="15">
        <f>IF(276&lt;=B$7*12,TEXT(DATE(2049,3,1),"mmm yyyy"),"")</f>
        <v/>
      </c>
      <c r="C288" s="16">
        <f>IF(276&lt;=B$7*12,F287,"")</f>
        <v/>
      </c>
      <c r="D288" s="16">
        <f>IF(276&lt;=B$7*12,IFERROR(PMT(B$6/12,B$7*12,-(B4-B5)),0)-E288,"")</f>
        <v/>
      </c>
      <c r="E288" s="16">
        <f>IF(276&lt;=B$7*12,C288*B$6/12,"")</f>
        <v/>
      </c>
      <c r="F288" s="16">
        <f>IF(276&lt;=B$7*12,MAX(C288-D288,0),"")</f>
        <v/>
      </c>
      <c r="G288" s="16">
        <f>IF(276&lt;=B$7*12,G287+E288,"")</f>
        <v/>
      </c>
    </row>
    <row r="289">
      <c r="A289" s="14">
        <f>IF(277&lt;=B$7*12,277,"")</f>
        <v/>
      </c>
      <c r="B289" s="14">
        <f>IF(277&lt;=B$7*12,TEXT(DATE(2049,4,1),"mmm yyyy"),"")</f>
        <v/>
      </c>
      <c r="C289" s="5">
        <f>IF(277&lt;=B$7*12,F288,"")</f>
        <v/>
      </c>
      <c r="D289" s="5">
        <f>IF(277&lt;=B$7*12,IFERROR(PMT(B$6/12,B$7*12,-(B4-B5)),0)-E289,"")</f>
        <v/>
      </c>
      <c r="E289" s="5">
        <f>IF(277&lt;=B$7*12,C289*B$6/12,"")</f>
        <v/>
      </c>
      <c r="F289" s="5">
        <f>IF(277&lt;=B$7*12,MAX(C289-D289,0),"")</f>
        <v/>
      </c>
      <c r="G289" s="5">
        <f>IF(277&lt;=B$7*12,G288+E289,"")</f>
        <v/>
      </c>
    </row>
    <row r="290">
      <c r="A290" s="15">
        <f>IF(278&lt;=B$7*12,278,"")</f>
        <v/>
      </c>
      <c r="B290" s="15">
        <f>IF(278&lt;=B$7*12,TEXT(DATE(2049,5,1),"mmm yyyy"),"")</f>
        <v/>
      </c>
      <c r="C290" s="16">
        <f>IF(278&lt;=B$7*12,F289,"")</f>
        <v/>
      </c>
      <c r="D290" s="16">
        <f>IF(278&lt;=B$7*12,IFERROR(PMT(B$6/12,B$7*12,-(B4-B5)),0)-E290,"")</f>
        <v/>
      </c>
      <c r="E290" s="16">
        <f>IF(278&lt;=B$7*12,C290*B$6/12,"")</f>
        <v/>
      </c>
      <c r="F290" s="16">
        <f>IF(278&lt;=B$7*12,MAX(C290-D290,0),"")</f>
        <v/>
      </c>
      <c r="G290" s="16">
        <f>IF(278&lt;=B$7*12,G289+E290,"")</f>
        <v/>
      </c>
    </row>
    <row r="291">
      <c r="A291" s="14">
        <f>IF(279&lt;=B$7*12,279,"")</f>
        <v/>
      </c>
      <c r="B291" s="14">
        <f>IF(279&lt;=B$7*12,TEXT(DATE(2049,6,1),"mmm yyyy"),"")</f>
        <v/>
      </c>
      <c r="C291" s="5">
        <f>IF(279&lt;=B$7*12,F290,"")</f>
        <v/>
      </c>
      <c r="D291" s="5">
        <f>IF(279&lt;=B$7*12,IFERROR(PMT(B$6/12,B$7*12,-(B4-B5)),0)-E291,"")</f>
        <v/>
      </c>
      <c r="E291" s="5">
        <f>IF(279&lt;=B$7*12,C291*B$6/12,"")</f>
        <v/>
      </c>
      <c r="F291" s="5">
        <f>IF(279&lt;=B$7*12,MAX(C291-D291,0),"")</f>
        <v/>
      </c>
      <c r="G291" s="5">
        <f>IF(279&lt;=B$7*12,G290+E291,"")</f>
        <v/>
      </c>
    </row>
    <row r="292">
      <c r="A292" s="15">
        <f>IF(280&lt;=B$7*12,280,"")</f>
        <v/>
      </c>
      <c r="B292" s="15">
        <f>IF(280&lt;=B$7*12,TEXT(DATE(2049,7,1),"mmm yyyy"),"")</f>
        <v/>
      </c>
      <c r="C292" s="16">
        <f>IF(280&lt;=B$7*12,F291,"")</f>
        <v/>
      </c>
      <c r="D292" s="16">
        <f>IF(280&lt;=B$7*12,IFERROR(PMT(B$6/12,B$7*12,-(B4-B5)),0)-E292,"")</f>
        <v/>
      </c>
      <c r="E292" s="16">
        <f>IF(280&lt;=B$7*12,C292*B$6/12,"")</f>
        <v/>
      </c>
      <c r="F292" s="16">
        <f>IF(280&lt;=B$7*12,MAX(C292-D292,0),"")</f>
        <v/>
      </c>
      <c r="G292" s="16">
        <f>IF(280&lt;=B$7*12,G291+E292,"")</f>
        <v/>
      </c>
    </row>
    <row r="293">
      <c r="A293" s="14">
        <f>IF(281&lt;=B$7*12,281,"")</f>
        <v/>
      </c>
      <c r="B293" s="14">
        <f>IF(281&lt;=B$7*12,TEXT(DATE(2049,8,1),"mmm yyyy"),"")</f>
        <v/>
      </c>
      <c r="C293" s="5">
        <f>IF(281&lt;=B$7*12,F292,"")</f>
        <v/>
      </c>
      <c r="D293" s="5">
        <f>IF(281&lt;=B$7*12,IFERROR(PMT(B$6/12,B$7*12,-(B4-B5)),0)-E293,"")</f>
        <v/>
      </c>
      <c r="E293" s="5">
        <f>IF(281&lt;=B$7*12,C293*B$6/12,"")</f>
        <v/>
      </c>
      <c r="F293" s="5">
        <f>IF(281&lt;=B$7*12,MAX(C293-D293,0),"")</f>
        <v/>
      </c>
      <c r="G293" s="5">
        <f>IF(281&lt;=B$7*12,G292+E293,"")</f>
        <v/>
      </c>
    </row>
    <row r="294">
      <c r="A294" s="15">
        <f>IF(282&lt;=B$7*12,282,"")</f>
        <v/>
      </c>
      <c r="B294" s="15">
        <f>IF(282&lt;=B$7*12,TEXT(DATE(2049,9,1),"mmm yyyy"),"")</f>
        <v/>
      </c>
      <c r="C294" s="16">
        <f>IF(282&lt;=B$7*12,F293,"")</f>
        <v/>
      </c>
      <c r="D294" s="16">
        <f>IF(282&lt;=B$7*12,IFERROR(PMT(B$6/12,B$7*12,-(B4-B5)),0)-E294,"")</f>
        <v/>
      </c>
      <c r="E294" s="16">
        <f>IF(282&lt;=B$7*12,C294*B$6/12,"")</f>
        <v/>
      </c>
      <c r="F294" s="16">
        <f>IF(282&lt;=B$7*12,MAX(C294-D294,0),"")</f>
        <v/>
      </c>
      <c r="G294" s="16">
        <f>IF(282&lt;=B$7*12,G293+E294,"")</f>
        <v/>
      </c>
    </row>
    <row r="295">
      <c r="A295" s="14">
        <f>IF(283&lt;=B$7*12,283,"")</f>
        <v/>
      </c>
      <c r="B295" s="14">
        <f>IF(283&lt;=B$7*12,TEXT(DATE(2049,10,1),"mmm yyyy"),"")</f>
        <v/>
      </c>
      <c r="C295" s="5">
        <f>IF(283&lt;=B$7*12,F294,"")</f>
        <v/>
      </c>
      <c r="D295" s="5">
        <f>IF(283&lt;=B$7*12,IFERROR(PMT(B$6/12,B$7*12,-(B4-B5)),0)-E295,"")</f>
        <v/>
      </c>
      <c r="E295" s="5">
        <f>IF(283&lt;=B$7*12,C295*B$6/12,"")</f>
        <v/>
      </c>
      <c r="F295" s="5">
        <f>IF(283&lt;=B$7*12,MAX(C295-D295,0),"")</f>
        <v/>
      </c>
      <c r="G295" s="5">
        <f>IF(283&lt;=B$7*12,G294+E295,"")</f>
        <v/>
      </c>
    </row>
    <row r="296">
      <c r="A296" s="15">
        <f>IF(284&lt;=B$7*12,284,"")</f>
        <v/>
      </c>
      <c r="B296" s="15">
        <f>IF(284&lt;=B$7*12,TEXT(DATE(2049,11,1),"mmm yyyy"),"")</f>
        <v/>
      </c>
      <c r="C296" s="16">
        <f>IF(284&lt;=B$7*12,F295,"")</f>
        <v/>
      </c>
      <c r="D296" s="16">
        <f>IF(284&lt;=B$7*12,IFERROR(PMT(B$6/12,B$7*12,-(B4-B5)),0)-E296,"")</f>
        <v/>
      </c>
      <c r="E296" s="16">
        <f>IF(284&lt;=B$7*12,C296*B$6/12,"")</f>
        <v/>
      </c>
      <c r="F296" s="16">
        <f>IF(284&lt;=B$7*12,MAX(C296-D296,0),"")</f>
        <v/>
      </c>
      <c r="G296" s="16">
        <f>IF(284&lt;=B$7*12,G295+E296,"")</f>
        <v/>
      </c>
    </row>
    <row r="297">
      <c r="A297" s="14">
        <f>IF(285&lt;=B$7*12,285,"")</f>
        <v/>
      </c>
      <c r="B297" s="14">
        <f>IF(285&lt;=B$7*12,TEXT(DATE(2049,12,1),"mmm yyyy"),"")</f>
        <v/>
      </c>
      <c r="C297" s="5">
        <f>IF(285&lt;=B$7*12,F296,"")</f>
        <v/>
      </c>
      <c r="D297" s="5">
        <f>IF(285&lt;=B$7*12,IFERROR(PMT(B$6/12,B$7*12,-(B4-B5)),0)-E297,"")</f>
        <v/>
      </c>
      <c r="E297" s="5">
        <f>IF(285&lt;=B$7*12,C297*B$6/12,"")</f>
        <v/>
      </c>
      <c r="F297" s="5">
        <f>IF(285&lt;=B$7*12,MAX(C297-D297,0),"")</f>
        <v/>
      </c>
      <c r="G297" s="5">
        <f>IF(285&lt;=B$7*12,G296+E297,"")</f>
        <v/>
      </c>
    </row>
    <row r="298">
      <c r="A298" s="15">
        <f>IF(286&lt;=B$7*12,286,"")</f>
        <v/>
      </c>
      <c r="B298" s="15">
        <f>IF(286&lt;=B$7*12,TEXT(DATE(2050,1,1),"mmm yyyy"),"")</f>
        <v/>
      </c>
      <c r="C298" s="16">
        <f>IF(286&lt;=B$7*12,F297,"")</f>
        <v/>
      </c>
      <c r="D298" s="16">
        <f>IF(286&lt;=B$7*12,IFERROR(PMT(B$6/12,B$7*12,-(B4-B5)),0)-E298,"")</f>
        <v/>
      </c>
      <c r="E298" s="16">
        <f>IF(286&lt;=B$7*12,C298*B$6/12,"")</f>
        <v/>
      </c>
      <c r="F298" s="16">
        <f>IF(286&lt;=B$7*12,MAX(C298-D298,0),"")</f>
        <v/>
      </c>
      <c r="G298" s="16">
        <f>IF(286&lt;=B$7*12,G297+E298,"")</f>
        <v/>
      </c>
    </row>
    <row r="299">
      <c r="A299" s="14">
        <f>IF(287&lt;=B$7*12,287,"")</f>
        <v/>
      </c>
      <c r="B299" s="14">
        <f>IF(287&lt;=B$7*12,TEXT(DATE(2050,2,1),"mmm yyyy"),"")</f>
        <v/>
      </c>
      <c r="C299" s="5">
        <f>IF(287&lt;=B$7*12,F298,"")</f>
        <v/>
      </c>
      <c r="D299" s="5">
        <f>IF(287&lt;=B$7*12,IFERROR(PMT(B$6/12,B$7*12,-(B4-B5)),0)-E299,"")</f>
        <v/>
      </c>
      <c r="E299" s="5">
        <f>IF(287&lt;=B$7*12,C299*B$6/12,"")</f>
        <v/>
      </c>
      <c r="F299" s="5">
        <f>IF(287&lt;=B$7*12,MAX(C299-D299,0),"")</f>
        <v/>
      </c>
      <c r="G299" s="5">
        <f>IF(287&lt;=B$7*12,G298+E299,"")</f>
        <v/>
      </c>
    </row>
    <row r="300">
      <c r="A300" s="15">
        <f>IF(288&lt;=B$7*12,288,"")</f>
        <v/>
      </c>
      <c r="B300" s="15">
        <f>IF(288&lt;=B$7*12,TEXT(DATE(2050,3,1),"mmm yyyy"),"")</f>
        <v/>
      </c>
      <c r="C300" s="16">
        <f>IF(288&lt;=B$7*12,F299,"")</f>
        <v/>
      </c>
      <c r="D300" s="16">
        <f>IF(288&lt;=B$7*12,IFERROR(PMT(B$6/12,B$7*12,-(B4-B5)),0)-E300,"")</f>
        <v/>
      </c>
      <c r="E300" s="16">
        <f>IF(288&lt;=B$7*12,C300*B$6/12,"")</f>
        <v/>
      </c>
      <c r="F300" s="16">
        <f>IF(288&lt;=B$7*12,MAX(C300-D300,0),"")</f>
        <v/>
      </c>
      <c r="G300" s="16">
        <f>IF(288&lt;=B$7*12,G299+E300,"")</f>
        <v/>
      </c>
    </row>
    <row r="301">
      <c r="A301" s="14">
        <f>IF(289&lt;=B$7*12,289,"")</f>
        <v/>
      </c>
      <c r="B301" s="14">
        <f>IF(289&lt;=B$7*12,TEXT(DATE(2050,4,1),"mmm yyyy"),"")</f>
        <v/>
      </c>
      <c r="C301" s="5">
        <f>IF(289&lt;=B$7*12,F300,"")</f>
        <v/>
      </c>
      <c r="D301" s="5">
        <f>IF(289&lt;=B$7*12,IFERROR(PMT(B$6/12,B$7*12,-(B4-B5)),0)-E301,"")</f>
        <v/>
      </c>
      <c r="E301" s="5">
        <f>IF(289&lt;=B$7*12,C301*B$6/12,"")</f>
        <v/>
      </c>
      <c r="F301" s="5">
        <f>IF(289&lt;=B$7*12,MAX(C301-D301,0),"")</f>
        <v/>
      </c>
      <c r="G301" s="5">
        <f>IF(289&lt;=B$7*12,G300+E301,"")</f>
        <v/>
      </c>
    </row>
    <row r="302">
      <c r="A302" s="15">
        <f>IF(290&lt;=B$7*12,290,"")</f>
        <v/>
      </c>
      <c r="B302" s="15">
        <f>IF(290&lt;=B$7*12,TEXT(DATE(2050,5,1),"mmm yyyy"),"")</f>
        <v/>
      </c>
      <c r="C302" s="16">
        <f>IF(290&lt;=B$7*12,F301,"")</f>
        <v/>
      </c>
      <c r="D302" s="16">
        <f>IF(290&lt;=B$7*12,IFERROR(PMT(B$6/12,B$7*12,-(B4-B5)),0)-E302,"")</f>
        <v/>
      </c>
      <c r="E302" s="16">
        <f>IF(290&lt;=B$7*12,C302*B$6/12,"")</f>
        <v/>
      </c>
      <c r="F302" s="16">
        <f>IF(290&lt;=B$7*12,MAX(C302-D302,0),"")</f>
        <v/>
      </c>
      <c r="G302" s="16">
        <f>IF(290&lt;=B$7*12,G301+E302,"")</f>
        <v/>
      </c>
    </row>
    <row r="303">
      <c r="A303" s="14">
        <f>IF(291&lt;=B$7*12,291,"")</f>
        <v/>
      </c>
      <c r="B303" s="14">
        <f>IF(291&lt;=B$7*12,TEXT(DATE(2050,6,1),"mmm yyyy"),"")</f>
        <v/>
      </c>
      <c r="C303" s="5">
        <f>IF(291&lt;=B$7*12,F302,"")</f>
        <v/>
      </c>
      <c r="D303" s="5">
        <f>IF(291&lt;=B$7*12,IFERROR(PMT(B$6/12,B$7*12,-(B4-B5)),0)-E303,"")</f>
        <v/>
      </c>
      <c r="E303" s="5">
        <f>IF(291&lt;=B$7*12,C303*B$6/12,"")</f>
        <v/>
      </c>
      <c r="F303" s="5">
        <f>IF(291&lt;=B$7*12,MAX(C303-D303,0),"")</f>
        <v/>
      </c>
      <c r="G303" s="5">
        <f>IF(291&lt;=B$7*12,G302+E303,"")</f>
        <v/>
      </c>
    </row>
    <row r="304">
      <c r="A304" s="15">
        <f>IF(292&lt;=B$7*12,292,"")</f>
        <v/>
      </c>
      <c r="B304" s="15">
        <f>IF(292&lt;=B$7*12,TEXT(DATE(2050,7,1),"mmm yyyy"),"")</f>
        <v/>
      </c>
      <c r="C304" s="16">
        <f>IF(292&lt;=B$7*12,F303,"")</f>
        <v/>
      </c>
      <c r="D304" s="16">
        <f>IF(292&lt;=B$7*12,IFERROR(PMT(B$6/12,B$7*12,-(B4-B5)),0)-E304,"")</f>
        <v/>
      </c>
      <c r="E304" s="16">
        <f>IF(292&lt;=B$7*12,C304*B$6/12,"")</f>
        <v/>
      </c>
      <c r="F304" s="16">
        <f>IF(292&lt;=B$7*12,MAX(C304-D304,0),"")</f>
        <v/>
      </c>
      <c r="G304" s="16">
        <f>IF(292&lt;=B$7*12,G303+E304,"")</f>
        <v/>
      </c>
    </row>
    <row r="305">
      <c r="A305" s="14">
        <f>IF(293&lt;=B$7*12,293,"")</f>
        <v/>
      </c>
      <c r="B305" s="14">
        <f>IF(293&lt;=B$7*12,TEXT(DATE(2050,8,1),"mmm yyyy"),"")</f>
        <v/>
      </c>
      <c r="C305" s="5">
        <f>IF(293&lt;=B$7*12,F304,"")</f>
        <v/>
      </c>
      <c r="D305" s="5">
        <f>IF(293&lt;=B$7*12,IFERROR(PMT(B$6/12,B$7*12,-(B4-B5)),0)-E305,"")</f>
        <v/>
      </c>
      <c r="E305" s="5">
        <f>IF(293&lt;=B$7*12,C305*B$6/12,"")</f>
        <v/>
      </c>
      <c r="F305" s="5">
        <f>IF(293&lt;=B$7*12,MAX(C305-D305,0),"")</f>
        <v/>
      </c>
      <c r="G305" s="5">
        <f>IF(293&lt;=B$7*12,G304+E305,"")</f>
        <v/>
      </c>
    </row>
    <row r="306">
      <c r="A306" s="15">
        <f>IF(294&lt;=B$7*12,294,"")</f>
        <v/>
      </c>
      <c r="B306" s="15">
        <f>IF(294&lt;=B$7*12,TEXT(DATE(2050,9,1),"mmm yyyy"),"")</f>
        <v/>
      </c>
      <c r="C306" s="16">
        <f>IF(294&lt;=B$7*12,F305,"")</f>
        <v/>
      </c>
      <c r="D306" s="16">
        <f>IF(294&lt;=B$7*12,IFERROR(PMT(B$6/12,B$7*12,-(B4-B5)),0)-E306,"")</f>
        <v/>
      </c>
      <c r="E306" s="16">
        <f>IF(294&lt;=B$7*12,C306*B$6/12,"")</f>
        <v/>
      </c>
      <c r="F306" s="16">
        <f>IF(294&lt;=B$7*12,MAX(C306-D306,0),"")</f>
        <v/>
      </c>
      <c r="G306" s="16">
        <f>IF(294&lt;=B$7*12,G305+E306,"")</f>
        <v/>
      </c>
    </row>
    <row r="307">
      <c r="A307" s="14">
        <f>IF(295&lt;=B$7*12,295,"")</f>
        <v/>
      </c>
      <c r="B307" s="14">
        <f>IF(295&lt;=B$7*12,TEXT(DATE(2050,10,1),"mmm yyyy"),"")</f>
        <v/>
      </c>
      <c r="C307" s="5">
        <f>IF(295&lt;=B$7*12,F306,"")</f>
        <v/>
      </c>
      <c r="D307" s="5">
        <f>IF(295&lt;=B$7*12,IFERROR(PMT(B$6/12,B$7*12,-(B4-B5)),0)-E307,"")</f>
        <v/>
      </c>
      <c r="E307" s="5">
        <f>IF(295&lt;=B$7*12,C307*B$6/12,"")</f>
        <v/>
      </c>
      <c r="F307" s="5">
        <f>IF(295&lt;=B$7*12,MAX(C307-D307,0),"")</f>
        <v/>
      </c>
      <c r="G307" s="5">
        <f>IF(295&lt;=B$7*12,G306+E307,"")</f>
        <v/>
      </c>
    </row>
    <row r="308">
      <c r="A308" s="15">
        <f>IF(296&lt;=B$7*12,296,"")</f>
        <v/>
      </c>
      <c r="B308" s="15">
        <f>IF(296&lt;=B$7*12,TEXT(DATE(2050,11,1),"mmm yyyy"),"")</f>
        <v/>
      </c>
      <c r="C308" s="16">
        <f>IF(296&lt;=B$7*12,F307,"")</f>
        <v/>
      </c>
      <c r="D308" s="16">
        <f>IF(296&lt;=B$7*12,IFERROR(PMT(B$6/12,B$7*12,-(B4-B5)),0)-E308,"")</f>
        <v/>
      </c>
      <c r="E308" s="16">
        <f>IF(296&lt;=B$7*12,C308*B$6/12,"")</f>
        <v/>
      </c>
      <c r="F308" s="16">
        <f>IF(296&lt;=B$7*12,MAX(C308-D308,0),"")</f>
        <v/>
      </c>
      <c r="G308" s="16">
        <f>IF(296&lt;=B$7*12,G307+E308,"")</f>
        <v/>
      </c>
    </row>
    <row r="309">
      <c r="A309" s="14">
        <f>IF(297&lt;=B$7*12,297,"")</f>
        <v/>
      </c>
      <c r="B309" s="14">
        <f>IF(297&lt;=B$7*12,TEXT(DATE(2050,12,1),"mmm yyyy"),"")</f>
        <v/>
      </c>
      <c r="C309" s="5">
        <f>IF(297&lt;=B$7*12,F308,"")</f>
        <v/>
      </c>
      <c r="D309" s="5">
        <f>IF(297&lt;=B$7*12,IFERROR(PMT(B$6/12,B$7*12,-(B4-B5)),0)-E309,"")</f>
        <v/>
      </c>
      <c r="E309" s="5">
        <f>IF(297&lt;=B$7*12,C309*B$6/12,"")</f>
        <v/>
      </c>
      <c r="F309" s="5">
        <f>IF(297&lt;=B$7*12,MAX(C309-D309,0),"")</f>
        <v/>
      </c>
      <c r="G309" s="5">
        <f>IF(297&lt;=B$7*12,G308+E309,"")</f>
        <v/>
      </c>
    </row>
    <row r="310">
      <c r="A310" s="15">
        <f>IF(298&lt;=B$7*12,298,"")</f>
        <v/>
      </c>
      <c r="B310" s="15">
        <f>IF(298&lt;=B$7*12,TEXT(DATE(2051,1,1),"mmm yyyy"),"")</f>
        <v/>
      </c>
      <c r="C310" s="16">
        <f>IF(298&lt;=B$7*12,F309,"")</f>
        <v/>
      </c>
      <c r="D310" s="16">
        <f>IF(298&lt;=B$7*12,IFERROR(PMT(B$6/12,B$7*12,-(B4-B5)),0)-E310,"")</f>
        <v/>
      </c>
      <c r="E310" s="16">
        <f>IF(298&lt;=B$7*12,C310*B$6/12,"")</f>
        <v/>
      </c>
      <c r="F310" s="16">
        <f>IF(298&lt;=B$7*12,MAX(C310-D310,0),"")</f>
        <v/>
      </c>
      <c r="G310" s="16">
        <f>IF(298&lt;=B$7*12,G309+E310,"")</f>
        <v/>
      </c>
    </row>
    <row r="311">
      <c r="A311" s="14">
        <f>IF(299&lt;=B$7*12,299,"")</f>
        <v/>
      </c>
      <c r="B311" s="14">
        <f>IF(299&lt;=B$7*12,TEXT(DATE(2051,2,1),"mmm yyyy"),"")</f>
        <v/>
      </c>
      <c r="C311" s="5">
        <f>IF(299&lt;=B$7*12,F310,"")</f>
        <v/>
      </c>
      <c r="D311" s="5">
        <f>IF(299&lt;=B$7*12,IFERROR(PMT(B$6/12,B$7*12,-(B4-B5)),0)-E311,"")</f>
        <v/>
      </c>
      <c r="E311" s="5">
        <f>IF(299&lt;=B$7*12,C311*B$6/12,"")</f>
        <v/>
      </c>
      <c r="F311" s="5">
        <f>IF(299&lt;=B$7*12,MAX(C311-D311,0),"")</f>
        <v/>
      </c>
      <c r="G311" s="5">
        <f>IF(299&lt;=B$7*12,G310+E311,"")</f>
        <v/>
      </c>
    </row>
    <row r="312">
      <c r="A312" s="15">
        <f>IF(300&lt;=B$7*12,300,"")</f>
        <v/>
      </c>
      <c r="B312" s="15">
        <f>IF(300&lt;=B$7*12,TEXT(DATE(2051,3,1),"mmm yyyy"),"")</f>
        <v/>
      </c>
      <c r="C312" s="16">
        <f>IF(300&lt;=B$7*12,F311,"")</f>
        <v/>
      </c>
      <c r="D312" s="16">
        <f>IF(300&lt;=B$7*12,IFERROR(PMT(B$6/12,B$7*12,-(B4-B5)),0)-E312,"")</f>
        <v/>
      </c>
      <c r="E312" s="16">
        <f>IF(300&lt;=B$7*12,C312*B$6/12,"")</f>
        <v/>
      </c>
      <c r="F312" s="16">
        <f>IF(300&lt;=B$7*12,MAX(C312-D312,0),"")</f>
        <v/>
      </c>
      <c r="G312" s="16">
        <f>IF(300&lt;=B$7*12,G311+E312,"")</f>
        <v/>
      </c>
    </row>
    <row r="313">
      <c r="A313" s="14">
        <f>IF(301&lt;=B$7*12,301,"")</f>
        <v/>
      </c>
      <c r="B313" s="14">
        <f>IF(301&lt;=B$7*12,TEXT(DATE(2051,4,1),"mmm yyyy"),"")</f>
        <v/>
      </c>
      <c r="C313" s="5">
        <f>IF(301&lt;=B$7*12,F312,"")</f>
        <v/>
      </c>
      <c r="D313" s="5">
        <f>IF(301&lt;=B$7*12,IFERROR(PMT(B$6/12,B$7*12,-(B4-B5)),0)-E313,"")</f>
        <v/>
      </c>
      <c r="E313" s="5">
        <f>IF(301&lt;=B$7*12,C313*B$6/12,"")</f>
        <v/>
      </c>
      <c r="F313" s="5">
        <f>IF(301&lt;=B$7*12,MAX(C313-D313,0),"")</f>
        <v/>
      </c>
      <c r="G313" s="5">
        <f>IF(301&lt;=B$7*12,G312+E313,"")</f>
        <v/>
      </c>
    </row>
    <row r="314">
      <c r="A314" s="15">
        <f>IF(302&lt;=B$7*12,302,"")</f>
        <v/>
      </c>
      <c r="B314" s="15">
        <f>IF(302&lt;=B$7*12,TEXT(DATE(2051,5,1),"mmm yyyy"),"")</f>
        <v/>
      </c>
      <c r="C314" s="16">
        <f>IF(302&lt;=B$7*12,F313,"")</f>
        <v/>
      </c>
      <c r="D314" s="16">
        <f>IF(302&lt;=B$7*12,IFERROR(PMT(B$6/12,B$7*12,-(B4-B5)),0)-E314,"")</f>
        <v/>
      </c>
      <c r="E314" s="16">
        <f>IF(302&lt;=B$7*12,C314*B$6/12,"")</f>
        <v/>
      </c>
      <c r="F314" s="16">
        <f>IF(302&lt;=B$7*12,MAX(C314-D314,0),"")</f>
        <v/>
      </c>
      <c r="G314" s="16">
        <f>IF(302&lt;=B$7*12,G313+E314,"")</f>
        <v/>
      </c>
    </row>
    <row r="315">
      <c r="A315" s="14">
        <f>IF(303&lt;=B$7*12,303,"")</f>
        <v/>
      </c>
      <c r="B315" s="14">
        <f>IF(303&lt;=B$7*12,TEXT(DATE(2051,6,1),"mmm yyyy"),"")</f>
        <v/>
      </c>
      <c r="C315" s="5">
        <f>IF(303&lt;=B$7*12,F314,"")</f>
        <v/>
      </c>
      <c r="D315" s="5">
        <f>IF(303&lt;=B$7*12,IFERROR(PMT(B$6/12,B$7*12,-(B4-B5)),0)-E315,"")</f>
        <v/>
      </c>
      <c r="E315" s="5">
        <f>IF(303&lt;=B$7*12,C315*B$6/12,"")</f>
        <v/>
      </c>
      <c r="F315" s="5">
        <f>IF(303&lt;=B$7*12,MAX(C315-D315,0),"")</f>
        <v/>
      </c>
      <c r="G315" s="5">
        <f>IF(303&lt;=B$7*12,G314+E315,"")</f>
        <v/>
      </c>
    </row>
    <row r="316">
      <c r="A316" s="15">
        <f>IF(304&lt;=B$7*12,304,"")</f>
        <v/>
      </c>
      <c r="B316" s="15">
        <f>IF(304&lt;=B$7*12,TEXT(DATE(2051,7,1),"mmm yyyy"),"")</f>
        <v/>
      </c>
      <c r="C316" s="16">
        <f>IF(304&lt;=B$7*12,F315,"")</f>
        <v/>
      </c>
      <c r="D316" s="16">
        <f>IF(304&lt;=B$7*12,IFERROR(PMT(B$6/12,B$7*12,-(B4-B5)),0)-E316,"")</f>
        <v/>
      </c>
      <c r="E316" s="16">
        <f>IF(304&lt;=B$7*12,C316*B$6/12,"")</f>
        <v/>
      </c>
      <c r="F316" s="16">
        <f>IF(304&lt;=B$7*12,MAX(C316-D316,0),"")</f>
        <v/>
      </c>
      <c r="G316" s="16">
        <f>IF(304&lt;=B$7*12,G315+E316,"")</f>
        <v/>
      </c>
    </row>
    <row r="317">
      <c r="A317" s="14">
        <f>IF(305&lt;=B$7*12,305,"")</f>
        <v/>
      </c>
      <c r="B317" s="14">
        <f>IF(305&lt;=B$7*12,TEXT(DATE(2051,8,1),"mmm yyyy"),"")</f>
        <v/>
      </c>
      <c r="C317" s="5">
        <f>IF(305&lt;=B$7*12,F316,"")</f>
        <v/>
      </c>
      <c r="D317" s="5">
        <f>IF(305&lt;=B$7*12,IFERROR(PMT(B$6/12,B$7*12,-(B4-B5)),0)-E317,"")</f>
        <v/>
      </c>
      <c r="E317" s="5">
        <f>IF(305&lt;=B$7*12,C317*B$6/12,"")</f>
        <v/>
      </c>
      <c r="F317" s="5">
        <f>IF(305&lt;=B$7*12,MAX(C317-D317,0),"")</f>
        <v/>
      </c>
      <c r="G317" s="5">
        <f>IF(305&lt;=B$7*12,G316+E317,"")</f>
        <v/>
      </c>
    </row>
    <row r="318">
      <c r="A318" s="15">
        <f>IF(306&lt;=B$7*12,306,"")</f>
        <v/>
      </c>
      <c r="B318" s="15">
        <f>IF(306&lt;=B$7*12,TEXT(DATE(2051,9,1),"mmm yyyy"),"")</f>
        <v/>
      </c>
      <c r="C318" s="16">
        <f>IF(306&lt;=B$7*12,F317,"")</f>
        <v/>
      </c>
      <c r="D318" s="16">
        <f>IF(306&lt;=B$7*12,IFERROR(PMT(B$6/12,B$7*12,-(B4-B5)),0)-E318,"")</f>
        <v/>
      </c>
      <c r="E318" s="16">
        <f>IF(306&lt;=B$7*12,C318*B$6/12,"")</f>
        <v/>
      </c>
      <c r="F318" s="16">
        <f>IF(306&lt;=B$7*12,MAX(C318-D318,0),"")</f>
        <v/>
      </c>
      <c r="G318" s="16">
        <f>IF(306&lt;=B$7*12,G317+E318,"")</f>
        <v/>
      </c>
    </row>
    <row r="319">
      <c r="A319" s="14">
        <f>IF(307&lt;=B$7*12,307,"")</f>
        <v/>
      </c>
      <c r="B319" s="14">
        <f>IF(307&lt;=B$7*12,TEXT(DATE(2051,10,1),"mmm yyyy"),"")</f>
        <v/>
      </c>
      <c r="C319" s="5">
        <f>IF(307&lt;=B$7*12,F318,"")</f>
        <v/>
      </c>
      <c r="D319" s="5">
        <f>IF(307&lt;=B$7*12,IFERROR(PMT(B$6/12,B$7*12,-(B4-B5)),0)-E319,"")</f>
        <v/>
      </c>
      <c r="E319" s="5">
        <f>IF(307&lt;=B$7*12,C319*B$6/12,"")</f>
        <v/>
      </c>
      <c r="F319" s="5">
        <f>IF(307&lt;=B$7*12,MAX(C319-D319,0),"")</f>
        <v/>
      </c>
      <c r="G319" s="5">
        <f>IF(307&lt;=B$7*12,G318+E319,"")</f>
        <v/>
      </c>
    </row>
    <row r="320">
      <c r="A320" s="15">
        <f>IF(308&lt;=B$7*12,308,"")</f>
        <v/>
      </c>
      <c r="B320" s="15">
        <f>IF(308&lt;=B$7*12,TEXT(DATE(2051,11,1),"mmm yyyy"),"")</f>
        <v/>
      </c>
      <c r="C320" s="16">
        <f>IF(308&lt;=B$7*12,F319,"")</f>
        <v/>
      </c>
      <c r="D320" s="16">
        <f>IF(308&lt;=B$7*12,IFERROR(PMT(B$6/12,B$7*12,-(B4-B5)),0)-E320,"")</f>
        <v/>
      </c>
      <c r="E320" s="16">
        <f>IF(308&lt;=B$7*12,C320*B$6/12,"")</f>
        <v/>
      </c>
      <c r="F320" s="16">
        <f>IF(308&lt;=B$7*12,MAX(C320-D320,0),"")</f>
        <v/>
      </c>
      <c r="G320" s="16">
        <f>IF(308&lt;=B$7*12,G319+E320,"")</f>
        <v/>
      </c>
    </row>
    <row r="321">
      <c r="A321" s="14">
        <f>IF(309&lt;=B$7*12,309,"")</f>
        <v/>
      </c>
      <c r="B321" s="14">
        <f>IF(309&lt;=B$7*12,TEXT(DATE(2051,12,1),"mmm yyyy"),"")</f>
        <v/>
      </c>
      <c r="C321" s="5">
        <f>IF(309&lt;=B$7*12,F320,"")</f>
        <v/>
      </c>
      <c r="D321" s="5">
        <f>IF(309&lt;=B$7*12,IFERROR(PMT(B$6/12,B$7*12,-(B4-B5)),0)-E321,"")</f>
        <v/>
      </c>
      <c r="E321" s="5">
        <f>IF(309&lt;=B$7*12,C321*B$6/12,"")</f>
        <v/>
      </c>
      <c r="F321" s="5">
        <f>IF(309&lt;=B$7*12,MAX(C321-D321,0),"")</f>
        <v/>
      </c>
      <c r="G321" s="5">
        <f>IF(309&lt;=B$7*12,G320+E321,"")</f>
        <v/>
      </c>
    </row>
    <row r="322">
      <c r="A322" s="15">
        <f>IF(310&lt;=B$7*12,310,"")</f>
        <v/>
      </c>
      <c r="B322" s="15">
        <f>IF(310&lt;=B$7*12,TEXT(DATE(2052,1,1),"mmm yyyy"),"")</f>
        <v/>
      </c>
      <c r="C322" s="16">
        <f>IF(310&lt;=B$7*12,F321,"")</f>
        <v/>
      </c>
      <c r="D322" s="16">
        <f>IF(310&lt;=B$7*12,IFERROR(PMT(B$6/12,B$7*12,-(B4-B5)),0)-E322,"")</f>
        <v/>
      </c>
      <c r="E322" s="16">
        <f>IF(310&lt;=B$7*12,C322*B$6/12,"")</f>
        <v/>
      </c>
      <c r="F322" s="16">
        <f>IF(310&lt;=B$7*12,MAX(C322-D322,0),"")</f>
        <v/>
      </c>
      <c r="G322" s="16">
        <f>IF(310&lt;=B$7*12,G321+E322,"")</f>
        <v/>
      </c>
    </row>
    <row r="323">
      <c r="A323" s="14">
        <f>IF(311&lt;=B$7*12,311,"")</f>
        <v/>
      </c>
      <c r="B323" s="14">
        <f>IF(311&lt;=B$7*12,TEXT(DATE(2052,2,1),"mmm yyyy"),"")</f>
        <v/>
      </c>
      <c r="C323" s="5">
        <f>IF(311&lt;=B$7*12,F322,"")</f>
        <v/>
      </c>
      <c r="D323" s="5">
        <f>IF(311&lt;=B$7*12,IFERROR(PMT(B$6/12,B$7*12,-(B4-B5)),0)-E323,"")</f>
        <v/>
      </c>
      <c r="E323" s="5">
        <f>IF(311&lt;=B$7*12,C323*B$6/12,"")</f>
        <v/>
      </c>
      <c r="F323" s="5">
        <f>IF(311&lt;=B$7*12,MAX(C323-D323,0),"")</f>
        <v/>
      </c>
      <c r="G323" s="5">
        <f>IF(311&lt;=B$7*12,G322+E323,"")</f>
        <v/>
      </c>
    </row>
    <row r="324">
      <c r="A324" s="15">
        <f>IF(312&lt;=B$7*12,312,"")</f>
        <v/>
      </c>
      <c r="B324" s="15">
        <f>IF(312&lt;=B$7*12,TEXT(DATE(2052,3,1),"mmm yyyy"),"")</f>
        <v/>
      </c>
      <c r="C324" s="16">
        <f>IF(312&lt;=B$7*12,F323,"")</f>
        <v/>
      </c>
      <c r="D324" s="16">
        <f>IF(312&lt;=B$7*12,IFERROR(PMT(B$6/12,B$7*12,-(B4-B5)),0)-E324,"")</f>
        <v/>
      </c>
      <c r="E324" s="16">
        <f>IF(312&lt;=B$7*12,C324*B$6/12,"")</f>
        <v/>
      </c>
      <c r="F324" s="16">
        <f>IF(312&lt;=B$7*12,MAX(C324-D324,0),"")</f>
        <v/>
      </c>
      <c r="G324" s="16">
        <f>IF(312&lt;=B$7*12,G323+E324,"")</f>
        <v/>
      </c>
    </row>
    <row r="325">
      <c r="A325" s="14">
        <f>IF(313&lt;=B$7*12,313,"")</f>
        <v/>
      </c>
      <c r="B325" s="14">
        <f>IF(313&lt;=B$7*12,TEXT(DATE(2052,4,1),"mmm yyyy"),"")</f>
        <v/>
      </c>
      <c r="C325" s="5">
        <f>IF(313&lt;=B$7*12,F324,"")</f>
        <v/>
      </c>
      <c r="D325" s="5">
        <f>IF(313&lt;=B$7*12,IFERROR(PMT(B$6/12,B$7*12,-(B4-B5)),0)-E325,"")</f>
        <v/>
      </c>
      <c r="E325" s="5">
        <f>IF(313&lt;=B$7*12,C325*B$6/12,"")</f>
        <v/>
      </c>
      <c r="F325" s="5">
        <f>IF(313&lt;=B$7*12,MAX(C325-D325,0),"")</f>
        <v/>
      </c>
      <c r="G325" s="5">
        <f>IF(313&lt;=B$7*12,G324+E325,"")</f>
        <v/>
      </c>
    </row>
    <row r="326">
      <c r="A326" s="15">
        <f>IF(314&lt;=B$7*12,314,"")</f>
        <v/>
      </c>
      <c r="B326" s="15">
        <f>IF(314&lt;=B$7*12,TEXT(DATE(2052,5,1),"mmm yyyy"),"")</f>
        <v/>
      </c>
      <c r="C326" s="16">
        <f>IF(314&lt;=B$7*12,F325,"")</f>
        <v/>
      </c>
      <c r="D326" s="16">
        <f>IF(314&lt;=B$7*12,IFERROR(PMT(B$6/12,B$7*12,-(B4-B5)),0)-E326,"")</f>
        <v/>
      </c>
      <c r="E326" s="16">
        <f>IF(314&lt;=B$7*12,C326*B$6/12,"")</f>
        <v/>
      </c>
      <c r="F326" s="16">
        <f>IF(314&lt;=B$7*12,MAX(C326-D326,0),"")</f>
        <v/>
      </c>
      <c r="G326" s="16">
        <f>IF(314&lt;=B$7*12,G325+E326,"")</f>
        <v/>
      </c>
    </row>
    <row r="327">
      <c r="A327" s="14">
        <f>IF(315&lt;=B$7*12,315,"")</f>
        <v/>
      </c>
      <c r="B327" s="14">
        <f>IF(315&lt;=B$7*12,TEXT(DATE(2052,6,1),"mmm yyyy"),"")</f>
        <v/>
      </c>
      <c r="C327" s="5">
        <f>IF(315&lt;=B$7*12,F326,"")</f>
        <v/>
      </c>
      <c r="D327" s="5">
        <f>IF(315&lt;=B$7*12,IFERROR(PMT(B$6/12,B$7*12,-(B4-B5)),0)-E327,"")</f>
        <v/>
      </c>
      <c r="E327" s="5">
        <f>IF(315&lt;=B$7*12,C327*B$6/12,"")</f>
        <v/>
      </c>
      <c r="F327" s="5">
        <f>IF(315&lt;=B$7*12,MAX(C327-D327,0),"")</f>
        <v/>
      </c>
      <c r="G327" s="5">
        <f>IF(315&lt;=B$7*12,G326+E327,"")</f>
        <v/>
      </c>
    </row>
    <row r="328">
      <c r="A328" s="15">
        <f>IF(316&lt;=B$7*12,316,"")</f>
        <v/>
      </c>
      <c r="B328" s="15">
        <f>IF(316&lt;=B$7*12,TEXT(DATE(2052,7,1),"mmm yyyy"),"")</f>
        <v/>
      </c>
      <c r="C328" s="16">
        <f>IF(316&lt;=B$7*12,F327,"")</f>
        <v/>
      </c>
      <c r="D328" s="16">
        <f>IF(316&lt;=B$7*12,IFERROR(PMT(B$6/12,B$7*12,-(B4-B5)),0)-E328,"")</f>
        <v/>
      </c>
      <c r="E328" s="16">
        <f>IF(316&lt;=B$7*12,C328*B$6/12,"")</f>
        <v/>
      </c>
      <c r="F328" s="16">
        <f>IF(316&lt;=B$7*12,MAX(C328-D328,0),"")</f>
        <v/>
      </c>
      <c r="G328" s="16">
        <f>IF(316&lt;=B$7*12,G327+E328,"")</f>
        <v/>
      </c>
    </row>
    <row r="329">
      <c r="A329" s="14">
        <f>IF(317&lt;=B$7*12,317,"")</f>
        <v/>
      </c>
      <c r="B329" s="14">
        <f>IF(317&lt;=B$7*12,TEXT(DATE(2052,8,1),"mmm yyyy"),"")</f>
        <v/>
      </c>
      <c r="C329" s="5">
        <f>IF(317&lt;=B$7*12,F328,"")</f>
        <v/>
      </c>
      <c r="D329" s="5">
        <f>IF(317&lt;=B$7*12,IFERROR(PMT(B$6/12,B$7*12,-(B4-B5)),0)-E329,"")</f>
        <v/>
      </c>
      <c r="E329" s="5">
        <f>IF(317&lt;=B$7*12,C329*B$6/12,"")</f>
        <v/>
      </c>
      <c r="F329" s="5">
        <f>IF(317&lt;=B$7*12,MAX(C329-D329,0),"")</f>
        <v/>
      </c>
      <c r="G329" s="5">
        <f>IF(317&lt;=B$7*12,G328+E329,"")</f>
        <v/>
      </c>
    </row>
    <row r="330">
      <c r="A330" s="15">
        <f>IF(318&lt;=B$7*12,318,"")</f>
        <v/>
      </c>
      <c r="B330" s="15">
        <f>IF(318&lt;=B$7*12,TEXT(DATE(2052,9,1),"mmm yyyy"),"")</f>
        <v/>
      </c>
      <c r="C330" s="16">
        <f>IF(318&lt;=B$7*12,F329,"")</f>
        <v/>
      </c>
      <c r="D330" s="16">
        <f>IF(318&lt;=B$7*12,IFERROR(PMT(B$6/12,B$7*12,-(B4-B5)),0)-E330,"")</f>
        <v/>
      </c>
      <c r="E330" s="16">
        <f>IF(318&lt;=B$7*12,C330*B$6/12,"")</f>
        <v/>
      </c>
      <c r="F330" s="16">
        <f>IF(318&lt;=B$7*12,MAX(C330-D330,0),"")</f>
        <v/>
      </c>
      <c r="G330" s="16">
        <f>IF(318&lt;=B$7*12,G329+E330,"")</f>
        <v/>
      </c>
    </row>
    <row r="331">
      <c r="A331" s="14">
        <f>IF(319&lt;=B$7*12,319,"")</f>
        <v/>
      </c>
      <c r="B331" s="14">
        <f>IF(319&lt;=B$7*12,TEXT(DATE(2052,10,1),"mmm yyyy"),"")</f>
        <v/>
      </c>
      <c r="C331" s="5">
        <f>IF(319&lt;=B$7*12,F330,"")</f>
        <v/>
      </c>
      <c r="D331" s="5">
        <f>IF(319&lt;=B$7*12,IFERROR(PMT(B$6/12,B$7*12,-(B4-B5)),0)-E331,"")</f>
        <v/>
      </c>
      <c r="E331" s="5">
        <f>IF(319&lt;=B$7*12,C331*B$6/12,"")</f>
        <v/>
      </c>
      <c r="F331" s="5">
        <f>IF(319&lt;=B$7*12,MAX(C331-D331,0),"")</f>
        <v/>
      </c>
      <c r="G331" s="5">
        <f>IF(319&lt;=B$7*12,G330+E331,"")</f>
        <v/>
      </c>
    </row>
    <row r="332">
      <c r="A332" s="15">
        <f>IF(320&lt;=B$7*12,320,"")</f>
        <v/>
      </c>
      <c r="B332" s="15">
        <f>IF(320&lt;=B$7*12,TEXT(DATE(2052,11,1),"mmm yyyy"),"")</f>
        <v/>
      </c>
      <c r="C332" s="16">
        <f>IF(320&lt;=B$7*12,F331,"")</f>
        <v/>
      </c>
      <c r="D332" s="16">
        <f>IF(320&lt;=B$7*12,IFERROR(PMT(B$6/12,B$7*12,-(B4-B5)),0)-E332,"")</f>
        <v/>
      </c>
      <c r="E332" s="16">
        <f>IF(320&lt;=B$7*12,C332*B$6/12,"")</f>
        <v/>
      </c>
      <c r="F332" s="16">
        <f>IF(320&lt;=B$7*12,MAX(C332-D332,0),"")</f>
        <v/>
      </c>
      <c r="G332" s="16">
        <f>IF(320&lt;=B$7*12,G331+E332,"")</f>
        <v/>
      </c>
    </row>
    <row r="333">
      <c r="A333" s="14">
        <f>IF(321&lt;=B$7*12,321,"")</f>
        <v/>
      </c>
      <c r="B333" s="14">
        <f>IF(321&lt;=B$7*12,TEXT(DATE(2052,12,1),"mmm yyyy"),"")</f>
        <v/>
      </c>
      <c r="C333" s="5">
        <f>IF(321&lt;=B$7*12,F332,"")</f>
        <v/>
      </c>
      <c r="D333" s="5">
        <f>IF(321&lt;=B$7*12,IFERROR(PMT(B$6/12,B$7*12,-(B4-B5)),0)-E333,"")</f>
        <v/>
      </c>
      <c r="E333" s="5">
        <f>IF(321&lt;=B$7*12,C333*B$6/12,"")</f>
        <v/>
      </c>
      <c r="F333" s="5">
        <f>IF(321&lt;=B$7*12,MAX(C333-D333,0),"")</f>
        <v/>
      </c>
      <c r="G333" s="5">
        <f>IF(321&lt;=B$7*12,G332+E333,"")</f>
        <v/>
      </c>
    </row>
    <row r="334">
      <c r="A334" s="15">
        <f>IF(322&lt;=B$7*12,322,"")</f>
        <v/>
      </c>
      <c r="B334" s="15">
        <f>IF(322&lt;=B$7*12,TEXT(DATE(2053,1,1),"mmm yyyy"),"")</f>
        <v/>
      </c>
      <c r="C334" s="16">
        <f>IF(322&lt;=B$7*12,F333,"")</f>
        <v/>
      </c>
      <c r="D334" s="16">
        <f>IF(322&lt;=B$7*12,IFERROR(PMT(B$6/12,B$7*12,-(B4-B5)),0)-E334,"")</f>
        <v/>
      </c>
      <c r="E334" s="16">
        <f>IF(322&lt;=B$7*12,C334*B$6/12,"")</f>
        <v/>
      </c>
      <c r="F334" s="16">
        <f>IF(322&lt;=B$7*12,MAX(C334-D334,0),"")</f>
        <v/>
      </c>
      <c r="G334" s="16">
        <f>IF(322&lt;=B$7*12,G333+E334,"")</f>
        <v/>
      </c>
    </row>
    <row r="335">
      <c r="A335" s="14">
        <f>IF(323&lt;=B$7*12,323,"")</f>
        <v/>
      </c>
      <c r="B335" s="14">
        <f>IF(323&lt;=B$7*12,TEXT(DATE(2053,2,1),"mmm yyyy"),"")</f>
        <v/>
      </c>
      <c r="C335" s="5">
        <f>IF(323&lt;=B$7*12,F334,"")</f>
        <v/>
      </c>
      <c r="D335" s="5">
        <f>IF(323&lt;=B$7*12,IFERROR(PMT(B$6/12,B$7*12,-(B4-B5)),0)-E335,"")</f>
        <v/>
      </c>
      <c r="E335" s="5">
        <f>IF(323&lt;=B$7*12,C335*B$6/12,"")</f>
        <v/>
      </c>
      <c r="F335" s="5">
        <f>IF(323&lt;=B$7*12,MAX(C335-D335,0),"")</f>
        <v/>
      </c>
      <c r="G335" s="5">
        <f>IF(323&lt;=B$7*12,G334+E335,"")</f>
        <v/>
      </c>
    </row>
    <row r="336">
      <c r="A336" s="15">
        <f>IF(324&lt;=B$7*12,324,"")</f>
        <v/>
      </c>
      <c r="B336" s="15">
        <f>IF(324&lt;=B$7*12,TEXT(DATE(2053,3,1),"mmm yyyy"),"")</f>
        <v/>
      </c>
      <c r="C336" s="16">
        <f>IF(324&lt;=B$7*12,F335,"")</f>
        <v/>
      </c>
      <c r="D336" s="16">
        <f>IF(324&lt;=B$7*12,IFERROR(PMT(B$6/12,B$7*12,-(B4-B5)),0)-E336,"")</f>
        <v/>
      </c>
      <c r="E336" s="16">
        <f>IF(324&lt;=B$7*12,C336*B$6/12,"")</f>
        <v/>
      </c>
      <c r="F336" s="16">
        <f>IF(324&lt;=B$7*12,MAX(C336-D336,0),"")</f>
        <v/>
      </c>
      <c r="G336" s="16">
        <f>IF(324&lt;=B$7*12,G335+E336,"")</f>
        <v/>
      </c>
    </row>
    <row r="337">
      <c r="A337" s="14">
        <f>IF(325&lt;=B$7*12,325,"")</f>
        <v/>
      </c>
      <c r="B337" s="14">
        <f>IF(325&lt;=B$7*12,TEXT(DATE(2053,4,1),"mmm yyyy"),"")</f>
        <v/>
      </c>
      <c r="C337" s="5">
        <f>IF(325&lt;=B$7*12,F336,"")</f>
        <v/>
      </c>
      <c r="D337" s="5">
        <f>IF(325&lt;=B$7*12,IFERROR(PMT(B$6/12,B$7*12,-(B4-B5)),0)-E337,"")</f>
        <v/>
      </c>
      <c r="E337" s="5">
        <f>IF(325&lt;=B$7*12,C337*B$6/12,"")</f>
        <v/>
      </c>
      <c r="F337" s="5">
        <f>IF(325&lt;=B$7*12,MAX(C337-D337,0),"")</f>
        <v/>
      </c>
      <c r="G337" s="5">
        <f>IF(325&lt;=B$7*12,G336+E337,"")</f>
        <v/>
      </c>
    </row>
    <row r="338">
      <c r="A338" s="15">
        <f>IF(326&lt;=B$7*12,326,"")</f>
        <v/>
      </c>
      <c r="B338" s="15">
        <f>IF(326&lt;=B$7*12,TEXT(DATE(2053,5,1),"mmm yyyy"),"")</f>
        <v/>
      </c>
      <c r="C338" s="16">
        <f>IF(326&lt;=B$7*12,F337,"")</f>
        <v/>
      </c>
      <c r="D338" s="16">
        <f>IF(326&lt;=B$7*12,IFERROR(PMT(B$6/12,B$7*12,-(B4-B5)),0)-E338,"")</f>
        <v/>
      </c>
      <c r="E338" s="16">
        <f>IF(326&lt;=B$7*12,C338*B$6/12,"")</f>
        <v/>
      </c>
      <c r="F338" s="16">
        <f>IF(326&lt;=B$7*12,MAX(C338-D338,0),"")</f>
        <v/>
      </c>
      <c r="G338" s="16">
        <f>IF(326&lt;=B$7*12,G337+E338,"")</f>
        <v/>
      </c>
    </row>
    <row r="339">
      <c r="A339" s="14">
        <f>IF(327&lt;=B$7*12,327,"")</f>
        <v/>
      </c>
      <c r="B339" s="14">
        <f>IF(327&lt;=B$7*12,TEXT(DATE(2053,6,1),"mmm yyyy"),"")</f>
        <v/>
      </c>
      <c r="C339" s="5">
        <f>IF(327&lt;=B$7*12,F338,"")</f>
        <v/>
      </c>
      <c r="D339" s="5">
        <f>IF(327&lt;=B$7*12,IFERROR(PMT(B$6/12,B$7*12,-(B4-B5)),0)-E339,"")</f>
        <v/>
      </c>
      <c r="E339" s="5">
        <f>IF(327&lt;=B$7*12,C339*B$6/12,"")</f>
        <v/>
      </c>
      <c r="F339" s="5">
        <f>IF(327&lt;=B$7*12,MAX(C339-D339,0),"")</f>
        <v/>
      </c>
      <c r="G339" s="5">
        <f>IF(327&lt;=B$7*12,G338+E339,"")</f>
        <v/>
      </c>
    </row>
    <row r="340">
      <c r="A340" s="15">
        <f>IF(328&lt;=B$7*12,328,"")</f>
        <v/>
      </c>
      <c r="B340" s="15">
        <f>IF(328&lt;=B$7*12,TEXT(DATE(2053,7,1),"mmm yyyy"),"")</f>
        <v/>
      </c>
      <c r="C340" s="16">
        <f>IF(328&lt;=B$7*12,F339,"")</f>
        <v/>
      </c>
      <c r="D340" s="16">
        <f>IF(328&lt;=B$7*12,IFERROR(PMT(B$6/12,B$7*12,-(B4-B5)),0)-E340,"")</f>
        <v/>
      </c>
      <c r="E340" s="16">
        <f>IF(328&lt;=B$7*12,C340*B$6/12,"")</f>
        <v/>
      </c>
      <c r="F340" s="16">
        <f>IF(328&lt;=B$7*12,MAX(C340-D340,0),"")</f>
        <v/>
      </c>
      <c r="G340" s="16">
        <f>IF(328&lt;=B$7*12,G339+E340,"")</f>
        <v/>
      </c>
    </row>
    <row r="341">
      <c r="A341" s="14">
        <f>IF(329&lt;=B$7*12,329,"")</f>
        <v/>
      </c>
      <c r="B341" s="14">
        <f>IF(329&lt;=B$7*12,TEXT(DATE(2053,8,1),"mmm yyyy"),"")</f>
        <v/>
      </c>
      <c r="C341" s="5">
        <f>IF(329&lt;=B$7*12,F340,"")</f>
        <v/>
      </c>
      <c r="D341" s="5">
        <f>IF(329&lt;=B$7*12,IFERROR(PMT(B$6/12,B$7*12,-(B4-B5)),0)-E341,"")</f>
        <v/>
      </c>
      <c r="E341" s="5">
        <f>IF(329&lt;=B$7*12,C341*B$6/12,"")</f>
        <v/>
      </c>
      <c r="F341" s="5">
        <f>IF(329&lt;=B$7*12,MAX(C341-D341,0),"")</f>
        <v/>
      </c>
      <c r="G341" s="5">
        <f>IF(329&lt;=B$7*12,G340+E341,"")</f>
        <v/>
      </c>
    </row>
    <row r="342">
      <c r="A342" s="15">
        <f>IF(330&lt;=B$7*12,330,"")</f>
        <v/>
      </c>
      <c r="B342" s="15">
        <f>IF(330&lt;=B$7*12,TEXT(DATE(2053,9,1),"mmm yyyy"),"")</f>
        <v/>
      </c>
      <c r="C342" s="16">
        <f>IF(330&lt;=B$7*12,F341,"")</f>
        <v/>
      </c>
      <c r="D342" s="16">
        <f>IF(330&lt;=B$7*12,IFERROR(PMT(B$6/12,B$7*12,-(B4-B5)),0)-E342,"")</f>
        <v/>
      </c>
      <c r="E342" s="16">
        <f>IF(330&lt;=B$7*12,C342*B$6/12,"")</f>
        <v/>
      </c>
      <c r="F342" s="16">
        <f>IF(330&lt;=B$7*12,MAX(C342-D342,0),"")</f>
        <v/>
      </c>
      <c r="G342" s="16">
        <f>IF(330&lt;=B$7*12,G341+E342,"")</f>
        <v/>
      </c>
    </row>
    <row r="343">
      <c r="A343" s="14">
        <f>IF(331&lt;=B$7*12,331,"")</f>
        <v/>
      </c>
      <c r="B343" s="14">
        <f>IF(331&lt;=B$7*12,TEXT(DATE(2053,10,1),"mmm yyyy"),"")</f>
        <v/>
      </c>
      <c r="C343" s="5">
        <f>IF(331&lt;=B$7*12,F342,"")</f>
        <v/>
      </c>
      <c r="D343" s="5">
        <f>IF(331&lt;=B$7*12,IFERROR(PMT(B$6/12,B$7*12,-(B4-B5)),0)-E343,"")</f>
        <v/>
      </c>
      <c r="E343" s="5">
        <f>IF(331&lt;=B$7*12,C343*B$6/12,"")</f>
        <v/>
      </c>
      <c r="F343" s="5">
        <f>IF(331&lt;=B$7*12,MAX(C343-D343,0),"")</f>
        <v/>
      </c>
      <c r="G343" s="5">
        <f>IF(331&lt;=B$7*12,G342+E343,"")</f>
        <v/>
      </c>
    </row>
    <row r="344">
      <c r="A344" s="15">
        <f>IF(332&lt;=B$7*12,332,"")</f>
        <v/>
      </c>
      <c r="B344" s="15">
        <f>IF(332&lt;=B$7*12,TEXT(DATE(2053,11,1),"mmm yyyy"),"")</f>
        <v/>
      </c>
      <c r="C344" s="16">
        <f>IF(332&lt;=B$7*12,F343,"")</f>
        <v/>
      </c>
      <c r="D344" s="16">
        <f>IF(332&lt;=B$7*12,IFERROR(PMT(B$6/12,B$7*12,-(B4-B5)),0)-E344,"")</f>
        <v/>
      </c>
      <c r="E344" s="16">
        <f>IF(332&lt;=B$7*12,C344*B$6/12,"")</f>
        <v/>
      </c>
      <c r="F344" s="16">
        <f>IF(332&lt;=B$7*12,MAX(C344-D344,0),"")</f>
        <v/>
      </c>
      <c r="G344" s="16">
        <f>IF(332&lt;=B$7*12,G343+E344,"")</f>
        <v/>
      </c>
    </row>
    <row r="345">
      <c r="A345" s="14">
        <f>IF(333&lt;=B$7*12,333,"")</f>
        <v/>
      </c>
      <c r="B345" s="14">
        <f>IF(333&lt;=B$7*12,TEXT(DATE(2053,12,1),"mmm yyyy"),"")</f>
        <v/>
      </c>
      <c r="C345" s="5">
        <f>IF(333&lt;=B$7*12,F344,"")</f>
        <v/>
      </c>
      <c r="D345" s="5">
        <f>IF(333&lt;=B$7*12,IFERROR(PMT(B$6/12,B$7*12,-(B4-B5)),0)-E345,"")</f>
        <v/>
      </c>
      <c r="E345" s="5">
        <f>IF(333&lt;=B$7*12,C345*B$6/12,"")</f>
        <v/>
      </c>
      <c r="F345" s="5">
        <f>IF(333&lt;=B$7*12,MAX(C345-D345,0),"")</f>
        <v/>
      </c>
      <c r="G345" s="5">
        <f>IF(333&lt;=B$7*12,G344+E345,"")</f>
        <v/>
      </c>
    </row>
    <row r="346">
      <c r="A346" s="15">
        <f>IF(334&lt;=B$7*12,334,"")</f>
        <v/>
      </c>
      <c r="B346" s="15">
        <f>IF(334&lt;=B$7*12,TEXT(DATE(2054,1,1),"mmm yyyy"),"")</f>
        <v/>
      </c>
      <c r="C346" s="16">
        <f>IF(334&lt;=B$7*12,F345,"")</f>
        <v/>
      </c>
      <c r="D346" s="16">
        <f>IF(334&lt;=B$7*12,IFERROR(PMT(B$6/12,B$7*12,-(B4-B5)),0)-E346,"")</f>
        <v/>
      </c>
      <c r="E346" s="16">
        <f>IF(334&lt;=B$7*12,C346*B$6/12,"")</f>
        <v/>
      </c>
      <c r="F346" s="16">
        <f>IF(334&lt;=B$7*12,MAX(C346-D346,0),"")</f>
        <v/>
      </c>
      <c r="G346" s="16">
        <f>IF(334&lt;=B$7*12,G345+E346,"")</f>
        <v/>
      </c>
    </row>
    <row r="347">
      <c r="A347" s="14">
        <f>IF(335&lt;=B$7*12,335,"")</f>
        <v/>
      </c>
      <c r="B347" s="14">
        <f>IF(335&lt;=B$7*12,TEXT(DATE(2054,2,1),"mmm yyyy"),"")</f>
        <v/>
      </c>
      <c r="C347" s="5">
        <f>IF(335&lt;=B$7*12,F346,"")</f>
        <v/>
      </c>
      <c r="D347" s="5">
        <f>IF(335&lt;=B$7*12,IFERROR(PMT(B$6/12,B$7*12,-(B4-B5)),0)-E347,"")</f>
        <v/>
      </c>
      <c r="E347" s="5">
        <f>IF(335&lt;=B$7*12,C347*B$6/12,"")</f>
        <v/>
      </c>
      <c r="F347" s="5">
        <f>IF(335&lt;=B$7*12,MAX(C347-D347,0),"")</f>
        <v/>
      </c>
      <c r="G347" s="5">
        <f>IF(335&lt;=B$7*12,G346+E347,"")</f>
        <v/>
      </c>
    </row>
    <row r="348">
      <c r="A348" s="15">
        <f>IF(336&lt;=B$7*12,336,"")</f>
        <v/>
      </c>
      <c r="B348" s="15">
        <f>IF(336&lt;=B$7*12,TEXT(DATE(2054,3,1),"mmm yyyy"),"")</f>
        <v/>
      </c>
      <c r="C348" s="16">
        <f>IF(336&lt;=B$7*12,F347,"")</f>
        <v/>
      </c>
      <c r="D348" s="16">
        <f>IF(336&lt;=B$7*12,IFERROR(PMT(B$6/12,B$7*12,-(B4-B5)),0)-E348,"")</f>
        <v/>
      </c>
      <c r="E348" s="16">
        <f>IF(336&lt;=B$7*12,C348*B$6/12,"")</f>
        <v/>
      </c>
      <c r="F348" s="16">
        <f>IF(336&lt;=B$7*12,MAX(C348-D348,0),"")</f>
        <v/>
      </c>
      <c r="G348" s="16">
        <f>IF(336&lt;=B$7*12,G347+E348,"")</f>
        <v/>
      </c>
    </row>
    <row r="349">
      <c r="A349" s="14">
        <f>IF(337&lt;=B$7*12,337,"")</f>
        <v/>
      </c>
      <c r="B349" s="14">
        <f>IF(337&lt;=B$7*12,TEXT(DATE(2054,4,1),"mmm yyyy"),"")</f>
        <v/>
      </c>
      <c r="C349" s="5">
        <f>IF(337&lt;=B$7*12,F348,"")</f>
        <v/>
      </c>
      <c r="D349" s="5">
        <f>IF(337&lt;=B$7*12,IFERROR(PMT(B$6/12,B$7*12,-(B4-B5)),0)-E349,"")</f>
        <v/>
      </c>
      <c r="E349" s="5">
        <f>IF(337&lt;=B$7*12,C349*B$6/12,"")</f>
        <v/>
      </c>
      <c r="F349" s="5">
        <f>IF(337&lt;=B$7*12,MAX(C349-D349,0),"")</f>
        <v/>
      </c>
      <c r="G349" s="5">
        <f>IF(337&lt;=B$7*12,G348+E349,"")</f>
        <v/>
      </c>
    </row>
    <row r="350">
      <c r="A350" s="15">
        <f>IF(338&lt;=B$7*12,338,"")</f>
        <v/>
      </c>
      <c r="B350" s="15">
        <f>IF(338&lt;=B$7*12,TEXT(DATE(2054,5,1),"mmm yyyy"),"")</f>
        <v/>
      </c>
      <c r="C350" s="16">
        <f>IF(338&lt;=B$7*12,F349,"")</f>
        <v/>
      </c>
      <c r="D350" s="16">
        <f>IF(338&lt;=B$7*12,IFERROR(PMT(B$6/12,B$7*12,-(B4-B5)),0)-E350,"")</f>
        <v/>
      </c>
      <c r="E350" s="16">
        <f>IF(338&lt;=B$7*12,C350*B$6/12,"")</f>
        <v/>
      </c>
      <c r="F350" s="16">
        <f>IF(338&lt;=B$7*12,MAX(C350-D350,0),"")</f>
        <v/>
      </c>
      <c r="G350" s="16">
        <f>IF(338&lt;=B$7*12,G349+E350,"")</f>
        <v/>
      </c>
    </row>
    <row r="351">
      <c r="A351" s="14">
        <f>IF(339&lt;=B$7*12,339,"")</f>
        <v/>
      </c>
      <c r="B351" s="14">
        <f>IF(339&lt;=B$7*12,TEXT(DATE(2054,6,1),"mmm yyyy"),"")</f>
        <v/>
      </c>
      <c r="C351" s="5">
        <f>IF(339&lt;=B$7*12,F350,"")</f>
        <v/>
      </c>
      <c r="D351" s="5">
        <f>IF(339&lt;=B$7*12,IFERROR(PMT(B$6/12,B$7*12,-(B4-B5)),0)-E351,"")</f>
        <v/>
      </c>
      <c r="E351" s="5">
        <f>IF(339&lt;=B$7*12,C351*B$6/12,"")</f>
        <v/>
      </c>
      <c r="F351" s="5">
        <f>IF(339&lt;=B$7*12,MAX(C351-D351,0),"")</f>
        <v/>
      </c>
      <c r="G351" s="5">
        <f>IF(339&lt;=B$7*12,G350+E351,"")</f>
        <v/>
      </c>
    </row>
    <row r="352">
      <c r="A352" s="15">
        <f>IF(340&lt;=B$7*12,340,"")</f>
        <v/>
      </c>
      <c r="B352" s="15">
        <f>IF(340&lt;=B$7*12,TEXT(DATE(2054,7,1),"mmm yyyy"),"")</f>
        <v/>
      </c>
      <c r="C352" s="16">
        <f>IF(340&lt;=B$7*12,F351,"")</f>
        <v/>
      </c>
      <c r="D352" s="16">
        <f>IF(340&lt;=B$7*12,IFERROR(PMT(B$6/12,B$7*12,-(B4-B5)),0)-E352,"")</f>
        <v/>
      </c>
      <c r="E352" s="16">
        <f>IF(340&lt;=B$7*12,C352*B$6/12,"")</f>
        <v/>
      </c>
      <c r="F352" s="16">
        <f>IF(340&lt;=B$7*12,MAX(C352-D352,0),"")</f>
        <v/>
      </c>
      <c r="G352" s="16">
        <f>IF(340&lt;=B$7*12,G351+E352,"")</f>
        <v/>
      </c>
    </row>
    <row r="353">
      <c r="A353" s="14">
        <f>IF(341&lt;=B$7*12,341,"")</f>
        <v/>
      </c>
      <c r="B353" s="14">
        <f>IF(341&lt;=B$7*12,TEXT(DATE(2054,8,1),"mmm yyyy"),"")</f>
        <v/>
      </c>
      <c r="C353" s="5">
        <f>IF(341&lt;=B$7*12,F352,"")</f>
        <v/>
      </c>
      <c r="D353" s="5">
        <f>IF(341&lt;=B$7*12,IFERROR(PMT(B$6/12,B$7*12,-(B4-B5)),0)-E353,"")</f>
        <v/>
      </c>
      <c r="E353" s="5">
        <f>IF(341&lt;=B$7*12,C353*B$6/12,"")</f>
        <v/>
      </c>
      <c r="F353" s="5">
        <f>IF(341&lt;=B$7*12,MAX(C353-D353,0),"")</f>
        <v/>
      </c>
      <c r="G353" s="5">
        <f>IF(341&lt;=B$7*12,G352+E353,"")</f>
        <v/>
      </c>
    </row>
    <row r="354">
      <c r="A354" s="15">
        <f>IF(342&lt;=B$7*12,342,"")</f>
        <v/>
      </c>
      <c r="B354" s="15">
        <f>IF(342&lt;=B$7*12,TEXT(DATE(2054,9,1),"mmm yyyy"),"")</f>
        <v/>
      </c>
      <c r="C354" s="16">
        <f>IF(342&lt;=B$7*12,F353,"")</f>
        <v/>
      </c>
      <c r="D354" s="16">
        <f>IF(342&lt;=B$7*12,IFERROR(PMT(B$6/12,B$7*12,-(B4-B5)),0)-E354,"")</f>
        <v/>
      </c>
      <c r="E354" s="16">
        <f>IF(342&lt;=B$7*12,C354*B$6/12,"")</f>
        <v/>
      </c>
      <c r="F354" s="16">
        <f>IF(342&lt;=B$7*12,MAX(C354-D354,0),"")</f>
        <v/>
      </c>
      <c r="G354" s="16">
        <f>IF(342&lt;=B$7*12,G353+E354,"")</f>
        <v/>
      </c>
    </row>
    <row r="355">
      <c r="A355" s="14">
        <f>IF(343&lt;=B$7*12,343,"")</f>
        <v/>
      </c>
      <c r="B355" s="14">
        <f>IF(343&lt;=B$7*12,TEXT(DATE(2054,10,1),"mmm yyyy"),"")</f>
        <v/>
      </c>
      <c r="C355" s="5">
        <f>IF(343&lt;=B$7*12,F354,"")</f>
        <v/>
      </c>
      <c r="D355" s="5">
        <f>IF(343&lt;=B$7*12,IFERROR(PMT(B$6/12,B$7*12,-(B4-B5)),0)-E355,"")</f>
        <v/>
      </c>
      <c r="E355" s="5">
        <f>IF(343&lt;=B$7*12,C355*B$6/12,"")</f>
        <v/>
      </c>
      <c r="F355" s="5">
        <f>IF(343&lt;=B$7*12,MAX(C355-D355,0),"")</f>
        <v/>
      </c>
      <c r="G355" s="5">
        <f>IF(343&lt;=B$7*12,G354+E355,"")</f>
        <v/>
      </c>
    </row>
    <row r="356">
      <c r="A356" s="15">
        <f>IF(344&lt;=B$7*12,344,"")</f>
        <v/>
      </c>
      <c r="B356" s="15">
        <f>IF(344&lt;=B$7*12,TEXT(DATE(2054,11,1),"mmm yyyy"),"")</f>
        <v/>
      </c>
      <c r="C356" s="16">
        <f>IF(344&lt;=B$7*12,F355,"")</f>
        <v/>
      </c>
      <c r="D356" s="16">
        <f>IF(344&lt;=B$7*12,IFERROR(PMT(B$6/12,B$7*12,-(B4-B5)),0)-E356,"")</f>
        <v/>
      </c>
      <c r="E356" s="16">
        <f>IF(344&lt;=B$7*12,C356*B$6/12,"")</f>
        <v/>
      </c>
      <c r="F356" s="16">
        <f>IF(344&lt;=B$7*12,MAX(C356-D356,0),"")</f>
        <v/>
      </c>
      <c r="G356" s="16">
        <f>IF(344&lt;=B$7*12,G355+E356,"")</f>
        <v/>
      </c>
    </row>
    <row r="357">
      <c r="A357" s="14">
        <f>IF(345&lt;=B$7*12,345,"")</f>
        <v/>
      </c>
      <c r="B357" s="14">
        <f>IF(345&lt;=B$7*12,TEXT(DATE(2054,12,1),"mmm yyyy"),"")</f>
        <v/>
      </c>
      <c r="C357" s="5">
        <f>IF(345&lt;=B$7*12,F356,"")</f>
        <v/>
      </c>
      <c r="D357" s="5">
        <f>IF(345&lt;=B$7*12,IFERROR(PMT(B$6/12,B$7*12,-(B4-B5)),0)-E357,"")</f>
        <v/>
      </c>
      <c r="E357" s="5">
        <f>IF(345&lt;=B$7*12,C357*B$6/12,"")</f>
        <v/>
      </c>
      <c r="F357" s="5">
        <f>IF(345&lt;=B$7*12,MAX(C357-D357,0),"")</f>
        <v/>
      </c>
      <c r="G357" s="5">
        <f>IF(345&lt;=B$7*12,G356+E357,"")</f>
        <v/>
      </c>
    </row>
    <row r="358">
      <c r="A358" s="15">
        <f>IF(346&lt;=B$7*12,346,"")</f>
        <v/>
      </c>
      <c r="B358" s="15">
        <f>IF(346&lt;=B$7*12,TEXT(DATE(2055,1,1),"mmm yyyy"),"")</f>
        <v/>
      </c>
      <c r="C358" s="16">
        <f>IF(346&lt;=B$7*12,F357,"")</f>
        <v/>
      </c>
      <c r="D358" s="16">
        <f>IF(346&lt;=B$7*12,IFERROR(PMT(B$6/12,B$7*12,-(B4-B5)),0)-E358,"")</f>
        <v/>
      </c>
      <c r="E358" s="16">
        <f>IF(346&lt;=B$7*12,C358*B$6/12,"")</f>
        <v/>
      </c>
      <c r="F358" s="16">
        <f>IF(346&lt;=B$7*12,MAX(C358-D358,0),"")</f>
        <v/>
      </c>
      <c r="G358" s="16">
        <f>IF(346&lt;=B$7*12,G357+E358,"")</f>
        <v/>
      </c>
    </row>
    <row r="359">
      <c r="A359" s="14">
        <f>IF(347&lt;=B$7*12,347,"")</f>
        <v/>
      </c>
      <c r="B359" s="14">
        <f>IF(347&lt;=B$7*12,TEXT(DATE(2055,2,1),"mmm yyyy"),"")</f>
        <v/>
      </c>
      <c r="C359" s="5">
        <f>IF(347&lt;=B$7*12,F358,"")</f>
        <v/>
      </c>
      <c r="D359" s="5">
        <f>IF(347&lt;=B$7*12,IFERROR(PMT(B$6/12,B$7*12,-(B4-B5)),0)-E359,"")</f>
        <v/>
      </c>
      <c r="E359" s="5">
        <f>IF(347&lt;=B$7*12,C359*B$6/12,"")</f>
        <v/>
      </c>
      <c r="F359" s="5">
        <f>IF(347&lt;=B$7*12,MAX(C359-D359,0),"")</f>
        <v/>
      </c>
      <c r="G359" s="5">
        <f>IF(347&lt;=B$7*12,G358+E359,"")</f>
        <v/>
      </c>
    </row>
    <row r="360">
      <c r="A360" s="15">
        <f>IF(348&lt;=B$7*12,348,"")</f>
        <v/>
      </c>
      <c r="B360" s="15">
        <f>IF(348&lt;=B$7*12,TEXT(DATE(2055,3,1),"mmm yyyy"),"")</f>
        <v/>
      </c>
      <c r="C360" s="16">
        <f>IF(348&lt;=B$7*12,F359,"")</f>
        <v/>
      </c>
      <c r="D360" s="16">
        <f>IF(348&lt;=B$7*12,IFERROR(PMT(B$6/12,B$7*12,-(B4-B5)),0)-E360,"")</f>
        <v/>
      </c>
      <c r="E360" s="16">
        <f>IF(348&lt;=B$7*12,C360*B$6/12,"")</f>
        <v/>
      </c>
      <c r="F360" s="16">
        <f>IF(348&lt;=B$7*12,MAX(C360-D360,0),"")</f>
        <v/>
      </c>
      <c r="G360" s="16">
        <f>IF(348&lt;=B$7*12,G359+E360,"")</f>
        <v/>
      </c>
    </row>
    <row r="361">
      <c r="A361" s="14">
        <f>IF(349&lt;=B$7*12,349,"")</f>
        <v/>
      </c>
      <c r="B361" s="14">
        <f>IF(349&lt;=B$7*12,TEXT(DATE(2055,4,1),"mmm yyyy"),"")</f>
        <v/>
      </c>
      <c r="C361" s="5">
        <f>IF(349&lt;=B$7*12,F360,"")</f>
        <v/>
      </c>
      <c r="D361" s="5">
        <f>IF(349&lt;=B$7*12,IFERROR(PMT(B$6/12,B$7*12,-(B4-B5)),0)-E361,"")</f>
        <v/>
      </c>
      <c r="E361" s="5">
        <f>IF(349&lt;=B$7*12,C361*B$6/12,"")</f>
        <v/>
      </c>
      <c r="F361" s="5">
        <f>IF(349&lt;=B$7*12,MAX(C361-D361,0),"")</f>
        <v/>
      </c>
      <c r="G361" s="5">
        <f>IF(349&lt;=B$7*12,G360+E361,"")</f>
        <v/>
      </c>
    </row>
    <row r="362">
      <c r="A362" s="15">
        <f>IF(350&lt;=B$7*12,350,"")</f>
        <v/>
      </c>
      <c r="B362" s="15">
        <f>IF(350&lt;=B$7*12,TEXT(DATE(2055,5,1),"mmm yyyy"),"")</f>
        <v/>
      </c>
      <c r="C362" s="16">
        <f>IF(350&lt;=B$7*12,F361,"")</f>
        <v/>
      </c>
      <c r="D362" s="16">
        <f>IF(350&lt;=B$7*12,IFERROR(PMT(B$6/12,B$7*12,-(B4-B5)),0)-E362,"")</f>
        <v/>
      </c>
      <c r="E362" s="16">
        <f>IF(350&lt;=B$7*12,C362*B$6/12,"")</f>
        <v/>
      </c>
      <c r="F362" s="16">
        <f>IF(350&lt;=B$7*12,MAX(C362-D362,0),"")</f>
        <v/>
      </c>
      <c r="G362" s="16">
        <f>IF(350&lt;=B$7*12,G361+E362,"")</f>
        <v/>
      </c>
    </row>
    <row r="363">
      <c r="A363" s="14">
        <f>IF(351&lt;=B$7*12,351,"")</f>
        <v/>
      </c>
      <c r="B363" s="14">
        <f>IF(351&lt;=B$7*12,TEXT(DATE(2055,6,1),"mmm yyyy"),"")</f>
        <v/>
      </c>
      <c r="C363" s="5">
        <f>IF(351&lt;=B$7*12,F362,"")</f>
        <v/>
      </c>
      <c r="D363" s="5">
        <f>IF(351&lt;=B$7*12,IFERROR(PMT(B$6/12,B$7*12,-(B4-B5)),0)-E363,"")</f>
        <v/>
      </c>
      <c r="E363" s="5">
        <f>IF(351&lt;=B$7*12,C363*B$6/12,"")</f>
        <v/>
      </c>
      <c r="F363" s="5">
        <f>IF(351&lt;=B$7*12,MAX(C363-D363,0),"")</f>
        <v/>
      </c>
      <c r="G363" s="5">
        <f>IF(351&lt;=B$7*12,G362+E363,"")</f>
        <v/>
      </c>
    </row>
    <row r="364">
      <c r="A364" s="15">
        <f>IF(352&lt;=B$7*12,352,"")</f>
        <v/>
      </c>
      <c r="B364" s="15">
        <f>IF(352&lt;=B$7*12,TEXT(DATE(2055,7,1),"mmm yyyy"),"")</f>
        <v/>
      </c>
      <c r="C364" s="16">
        <f>IF(352&lt;=B$7*12,F363,"")</f>
        <v/>
      </c>
      <c r="D364" s="16">
        <f>IF(352&lt;=B$7*12,IFERROR(PMT(B$6/12,B$7*12,-(B4-B5)),0)-E364,"")</f>
        <v/>
      </c>
      <c r="E364" s="16">
        <f>IF(352&lt;=B$7*12,C364*B$6/12,"")</f>
        <v/>
      </c>
      <c r="F364" s="16">
        <f>IF(352&lt;=B$7*12,MAX(C364-D364,0),"")</f>
        <v/>
      </c>
      <c r="G364" s="16">
        <f>IF(352&lt;=B$7*12,G363+E364,"")</f>
        <v/>
      </c>
    </row>
    <row r="365">
      <c r="A365" s="14">
        <f>IF(353&lt;=B$7*12,353,"")</f>
        <v/>
      </c>
      <c r="B365" s="14">
        <f>IF(353&lt;=B$7*12,TEXT(DATE(2055,8,1),"mmm yyyy"),"")</f>
        <v/>
      </c>
      <c r="C365" s="5">
        <f>IF(353&lt;=B$7*12,F364,"")</f>
        <v/>
      </c>
      <c r="D365" s="5">
        <f>IF(353&lt;=B$7*12,IFERROR(PMT(B$6/12,B$7*12,-(B4-B5)),0)-E365,"")</f>
        <v/>
      </c>
      <c r="E365" s="5">
        <f>IF(353&lt;=B$7*12,C365*B$6/12,"")</f>
        <v/>
      </c>
      <c r="F365" s="5">
        <f>IF(353&lt;=B$7*12,MAX(C365-D365,0),"")</f>
        <v/>
      </c>
      <c r="G365" s="5">
        <f>IF(353&lt;=B$7*12,G364+E365,"")</f>
        <v/>
      </c>
    </row>
    <row r="366">
      <c r="A366" s="15">
        <f>IF(354&lt;=B$7*12,354,"")</f>
        <v/>
      </c>
      <c r="B366" s="15">
        <f>IF(354&lt;=B$7*12,TEXT(DATE(2055,9,1),"mmm yyyy"),"")</f>
        <v/>
      </c>
      <c r="C366" s="16">
        <f>IF(354&lt;=B$7*12,F365,"")</f>
        <v/>
      </c>
      <c r="D366" s="16">
        <f>IF(354&lt;=B$7*12,IFERROR(PMT(B$6/12,B$7*12,-(B4-B5)),0)-E366,"")</f>
        <v/>
      </c>
      <c r="E366" s="16">
        <f>IF(354&lt;=B$7*12,C366*B$6/12,"")</f>
        <v/>
      </c>
      <c r="F366" s="16">
        <f>IF(354&lt;=B$7*12,MAX(C366-D366,0),"")</f>
        <v/>
      </c>
      <c r="G366" s="16">
        <f>IF(354&lt;=B$7*12,G365+E366,"")</f>
        <v/>
      </c>
    </row>
    <row r="367">
      <c r="A367" s="14">
        <f>IF(355&lt;=B$7*12,355,"")</f>
        <v/>
      </c>
      <c r="B367" s="14">
        <f>IF(355&lt;=B$7*12,TEXT(DATE(2055,10,1),"mmm yyyy"),"")</f>
        <v/>
      </c>
      <c r="C367" s="5">
        <f>IF(355&lt;=B$7*12,F366,"")</f>
        <v/>
      </c>
      <c r="D367" s="5">
        <f>IF(355&lt;=B$7*12,IFERROR(PMT(B$6/12,B$7*12,-(B4-B5)),0)-E367,"")</f>
        <v/>
      </c>
      <c r="E367" s="5">
        <f>IF(355&lt;=B$7*12,C367*B$6/12,"")</f>
        <v/>
      </c>
      <c r="F367" s="5">
        <f>IF(355&lt;=B$7*12,MAX(C367-D367,0),"")</f>
        <v/>
      </c>
      <c r="G367" s="5">
        <f>IF(355&lt;=B$7*12,G366+E367,"")</f>
        <v/>
      </c>
    </row>
    <row r="368">
      <c r="A368" s="15">
        <f>IF(356&lt;=B$7*12,356,"")</f>
        <v/>
      </c>
      <c r="B368" s="15">
        <f>IF(356&lt;=B$7*12,TEXT(DATE(2055,11,1),"mmm yyyy"),"")</f>
        <v/>
      </c>
      <c r="C368" s="16">
        <f>IF(356&lt;=B$7*12,F367,"")</f>
        <v/>
      </c>
      <c r="D368" s="16">
        <f>IF(356&lt;=B$7*12,IFERROR(PMT(B$6/12,B$7*12,-(B4-B5)),0)-E368,"")</f>
        <v/>
      </c>
      <c r="E368" s="16">
        <f>IF(356&lt;=B$7*12,C368*B$6/12,"")</f>
        <v/>
      </c>
      <c r="F368" s="16">
        <f>IF(356&lt;=B$7*12,MAX(C368-D368,0),"")</f>
        <v/>
      </c>
      <c r="G368" s="16">
        <f>IF(356&lt;=B$7*12,G367+E368,"")</f>
        <v/>
      </c>
    </row>
    <row r="369">
      <c r="A369" s="14">
        <f>IF(357&lt;=B$7*12,357,"")</f>
        <v/>
      </c>
      <c r="B369" s="14">
        <f>IF(357&lt;=B$7*12,TEXT(DATE(2055,12,1),"mmm yyyy"),"")</f>
        <v/>
      </c>
      <c r="C369" s="5">
        <f>IF(357&lt;=B$7*12,F368,"")</f>
        <v/>
      </c>
      <c r="D369" s="5">
        <f>IF(357&lt;=B$7*12,IFERROR(PMT(B$6/12,B$7*12,-(B4-B5)),0)-E369,"")</f>
        <v/>
      </c>
      <c r="E369" s="5">
        <f>IF(357&lt;=B$7*12,C369*B$6/12,"")</f>
        <v/>
      </c>
      <c r="F369" s="5">
        <f>IF(357&lt;=B$7*12,MAX(C369-D369,0),"")</f>
        <v/>
      </c>
      <c r="G369" s="5">
        <f>IF(357&lt;=B$7*12,G368+E369,"")</f>
        <v/>
      </c>
    </row>
    <row r="370">
      <c r="A370" s="15">
        <f>IF(358&lt;=B$7*12,358,"")</f>
        <v/>
      </c>
      <c r="B370" s="15">
        <f>IF(358&lt;=B$7*12,TEXT(DATE(2056,1,1),"mmm yyyy"),"")</f>
        <v/>
      </c>
      <c r="C370" s="16">
        <f>IF(358&lt;=B$7*12,F369,"")</f>
        <v/>
      </c>
      <c r="D370" s="16">
        <f>IF(358&lt;=B$7*12,IFERROR(PMT(B$6/12,B$7*12,-(B4-B5)),0)-E370,"")</f>
        <v/>
      </c>
      <c r="E370" s="16">
        <f>IF(358&lt;=B$7*12,C370*B$6/12,"")</f>
        <v/>
      </c>
      <c r="F370" s="16">
        <f>IF(358&lt;=B$7*12,MAX(C370-D370,0),"")</f>
        <v/>
      </c>
      <c r="G370" s="16">
        <f>IF(358&lt;=B$7*12,G369+E370,"")</f>
        <v/>
      </c>
    </row>
    <row r="371">
      <c r="A371" s="14">
        <f>IF(359&lt;=B$7*12,359,"")</f>
        <v/>
      </c>
      <c r="B371" s="14">
        <f>IF(359&lt;=B$7*12,TEXT(DATE(2056,2,1),"mmm yyyy"),"")</f>
        <v/>
      </c>
      <c r="C371" s="5">
        <f>IF(359&lt;=B$7*12,F370,"")</f>
        <v/>
      </c>
      <c r="D371" s="5">
        <f>IF(359&lt;=B$7*12,IFERROR(PMT(B$6/12,B$7*12,-(B4-B5)),0)-E371,"")</f>
        <v/>
      </c>
      <c r="E371" s="5">
        <f>IF(359&lt;=B$7*12,C371*B$6/12,"")</f>
        <v/>
      </c>
      <c r="F371" s="5">
        <f>IF(359&lt;=B$7*12,MAX(C371-D371,0),"")</f>
        <v/>
      </c>
      <c r="G371" s="5">
        <f>IF(359&lt;=B$7*12,G370+E371,"")</f>
        <v/>
      </c>
    </row>
    <row r="372">
      <c r="A372" s="15">
        <f>IF(360&lt;=B$7*12,360,"")</f>
        <v/>
      </c>
      <c r="B372" s="15">
        <f>IF(360&lt;=B$7*12,TEXT(DATE(2056,3,1),"mmm yyyy"),"")</f>
        <v/>
      </c>
      <c r="C372" s="16">
        <f>IF(360&lt;=B$7*12,F371,"")</f>
        <v/>
      </c>
      <c r="D372" s="16">
        <f>IF(360&lt;=B$7*12,IFERROR(PMT(B$6/12,B$7*12,-(B4-B5)),0)-E372,"")</f>
        <v/>
      </c>
      <c r="E372" s="16">
        <f>IF(360&lt;=B$7*12,C372*B$6/12,"")</f>
        <v/>
      </c>
      <c r="F372" s="16">
        <f>IF(360&lt;=B$7*12,MAX(C372-D372,0),"")</f>
        <v/>
      </c>
      <c r="G372" s="16">
        <f>IF(360&lt;=B$7*12,G371+E372,"")</f>
        <v/>
      </c>
    </row>
  </sheetData>
  <mergeCells count="11">
    <mergeCell ref="A1:G1"/>
    <mergeCell ref="D3:G3"/>
    <mergeCell ref="D5:F5"/>
    <mergeCell ref="A11:G11"/>
    <mergeCell ref="D4:F4"/>
    <mergeCell ref="A2:G2"/>
    <mergeCell ref="D9:F9"/>
    <mergeCell ref="D7:F7"/>
    <mergeCell ref="D8:F8"/>
    <mergeCell ref="D6:F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2026-03-21T20:55:03Z</dcterms:created>
  <dcterms:modified xmlns:dcterms="http://purl.org/dc/terms/" xmlns:xsi="http://www.w3.org/2001/XMLSchema-instance" xsi:type="dcterms:W3CDTF">2026-03-21T20:55:03Z</dcterms:modified>
</cp:coreProperties>
</file>